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iesen.FES\Desktop\Claude_Projekte\Untis_Stellenistberechnung\01_Content\"/>
    </mc:Choice>
  </mc:AlternateContent>
  <xr:revisionPtr revIDLastSave="0" documentId="13_ncr:1_{F89E876B-50BE-434E-B25A-E52CA5653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 - GES" sheetId="33956" r:id="rId1"/>
  </sheets>
  <definedNames>
    <definedName name="A">'2024 - GES'!$B:$B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" i="33956" l="1"/>
  <c r="F122" i="33956"/>
  <c r="G122" i="33956"/>
  <c r="H122" i="33956"/>
  <c r="I122" i="33956"/>
  <c r="J122" i="33956"/>
  <c r="L124" i="33956" s="1"/>
  <c r="K122" i="33956"/>
  <c r="L122" i="33956"/>
  <c r="M122" i="33956"/>
  <c r="N122" i="33956"/>
  <c r="D122" i="33956"/>
  <c r="C122" i="33956"/>
  <c r="F124" i="33956" s="1"/>
  <c r="E67" i="33956"/>
  <c r="F67" i="33956"/>
  <c r="G67" i="33956"/>
  <c r="H67" i="33956"/>
  <c r="I67" i="33956"/>
  <c r="J67" i="33956"/>
  <c r="K67" i="33956"/>
  <c r="L67" i="33956"/>
  <c r="M67" i="33956"/>
  <c r="N67" i="33956"/>
  <c r="D67" i="33956"/>
  <c r="C67" i="33956"/>
  <c r="F69" i="33956" s="1"/>
  <c r="L69" i="33956" l="1"/>
  <c r="U34" i="33956" l="1"/>
  <c r="U35" i="33956" s="1"/>
  <c r="U56" i="33956" l="1"/>
  <c r="U57" i="33956" s="1"/>
  <c r="V57" i="33956" s="1"/>
  <c r="V55" i="33956"/>
  <c r="U49" i="33956"/>
  <c r="U50" i="33956" s="1"/>
  <c r="V50" i="33956" s="1"/>
  <c r="V48" i="33956"/>
  <c r="U42" i="33956"/>
  <c r="U43" i="33956" s="1"/>
  <c r="V43" i="33956" s="1"/>
  <c r="V41" i="33956"/>
  <c r="V35" i="33956"/>
  <c r="V33" i="33956"/>
  <c r="V42" i="33956" l="1"/>
  <c r="V44" i="33956" s="1"/>
  <c r="V56" i="33956"/>
  <c r="V58" i="33956" s="1"/>
  <c r="V34" i="33956"/>
  <c r="V36" i="33956" s="1"/>
  <c r="V49" i="33956"/>
  <c r="V51" i="33956" s="1"/>
  <c r="F141" i="33956" l="1"/>
  <c r="L127" i="33956" s="1"/>
  <c r="L133" i="33956" s="1"/>
  <c r="F137" i="33956"/>
  <c r="F127" i="33956" s="1"/>
  <c r="F133" i="33956" s="1"/>
  <c r="C74" i="33956"/>
  <c r="N74" i="33956"/>
  <c r="M74" i="33956"/>
  <c r="L74" i="33956"/>
  <c r="K74" i="33956"/>
  <c r="J74" i="33956"/>
  <c r="I74" i="33956"/>
  <c r="H74" i="33956"/>
  <c r="G74" i="33956"/>
  <c r="F74" i="33956"/>
  <c r="E74" i="33956"/>
  <c r="D74" i="33956"/>
  <c r="L76" i="33956" l="1"/>
  <c r="L126" i="33956" s="1"/>
  <c r="L134" i="33956" s="1"/>
  <c r="F76" i="33956"/>
  <c r="F126" i="33956" s="1"/>
  <c r="F134" i="3395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1EFDA-A38B-4FFE-B4E2-11579D0212B7}" keepAlive="1" name="Abfrage - Angezeigter Text" description="Verbindung mit der Abfrage 'Angezeigter Text' in der Arbeitsmappe." type="5" refreshedVersion="8" background="1" saveData="1">
    <dbPr connection="Provider=Microsoft.Mashup.OleDb.1;Data Source=$Workbook$;Location=&quot;Angezeigter Text&quot;;Extended Properties=&quot;&quot;" command="SELECT * FROM [Angezeigter Text]"/>
  </connection>
  <connection id="2" xr16:uid="{9951F8B7-C8C4-4A27-AAB2-4E8D78078114}" keepAlive="1" name="Abfrage - Tabelle 5" description="Verbindung mit der Abfrage 'Tabelle 5' in der Arbeitsmappe." type="5" refreshedVersion="8" background="1" saveData="1">
    <dbPr connection="Provider=Microsoft.Mashup.OleDb.1;Data Source=$Workbook$;Location=&quot;Tabelle 5&quot;;Extended Properties=&quot;&quot;" command="SELECT * FROM [Tabelle 5]"/>
  </connection>
</connections>
</file>

<file path=xl/sharedStrings.xml><?xml version="1.0" encoding="utf-8"?>
<sst xmlns="http://schemas.openxmlformats.org/spreadsheetml/2006/main" count="213" uniqueCount="101">
  <si>
    <t>Stellen-Ist-Berechnung</t>
  </si>
  <si>
    <t>Name</t>
  </si>
  <si>
    <t>Gesamtstellen</t>
  </si>
  <si>
    <t>Soll</t>
  </si>
  <si>
    <t>Differenz</t>
  </si>
  <si>
    <t>Monats-Ø Stellen</t>
  </si>
  <si>
    <t>Summe Wo./Std.</t>
  </si>
  <si>
    <t>Summe Mo./Std.</t>
  </si>
  <si>
    <t>Mehrarbeit</t>
  </si>
  <si>
    <t>Freie Evangelische Gesamtschule Minden</t>
  </si>
  <si>
    <t>Kingsleyallee 5</t>
  </si>
  <si>
    <t>32425 Minden</t>
  </si>
  <si>
    <t>Integration</t>
  </si>
  <si>
    <t>nebenamtl. Unterricht</t>
  </si>
  <si>
    <t>Bergen, Eduard</t>
  </si>
  <si>
    <t>Münster, Dirk</t>
  </si>
  <si>
    <t>Schmidt, Anja Kristina</t>
  </si>
  <si>
    <t>Thiel, Claudia</t>
  </si>
  <si>
    <t>Wieschollek-Scholz, Anna</t>
  </si>
  <si>
    <t>Wilke, Silvia</t>
  </si>
  <si>
    <t>Fedunin, Johann</t>
  </si>
  <si>
    <t>Penner, Eugen</t>
  </si>
  <si>
    <t>Küpper, Andreas</t>
  </si>
  <si>
    <t>Schüler</t>
  </si>
  <si>
    <t>Relation</t>
  </si>
  <si>
    <t>Stellenanzahl</t>
  </si>
  <si>
    <t>=</t>
  </si>
  <si>
    <t>Stamm-
schule</t>
  </si>
  <si>
    <t>GES</t>
  </si>
  <si>
    <t>GYM</t>
  </si>
  <si>
    <t>Wall, Eduard</t>
  </si>
  <si>
    <t>Hildebrandt, Peter</t>
  </si>
  <si>
    <t>Schnittjer, Julian</t>
  </si>
  <si>
    <t>GSH</t>
  </si>
  <si>
    <t>Struckmeier, Judith</t>
  </si>
  <si>
    <t>KAoA</t>
  </si>
  <si>
    <t xml:space="preserve"> </t>
  </si>
  <si>
    <t>Gerhold, Birke</t>
  </si>
  <si>
    <t>Gosch, Stephan</t>
  </si>
  <si>
    <t>Kegel, Frank</t>
  </si>
  <si>
    <t>Pätkau, Johann</t>
  </si>
  <si>
    <t>Stahlschmidt, Florian</t>
  </si>
  <si>
    <t>Ullrich, David</t>
  </si>
  <si>
    <t>31 Tage</t>
  </si>
  <si>
    <t>Std.</t>
  </si>
  <si>
    <t>Tag</t>
  </si>
  <si>
    <t>30 Tage</t>
  </si>
  <si>
    <t>28 Tage</t>
  </si>
  <si>
    <t>GES, Schüler 5.- 10. Klasse</t>
  </si>
  <si>
    <t>Schellenberg, Thomas</t>
  </si>
  <si>
    <t>Donath, Peter Paul</t>
  </si>
  <si>
    <t>Olfert, Paul</t>
  </si>
  <si>
    <t>Braun, Diana</t>
  </si>
  <si>
    <t>Waldmann, Dirk</t>
  </si>
  <si>
    <t>Wieschollek-Scholz, Anna Franziska</t>
  </si>
  <si>
    <t>Formel für Stellen-Ist-Berechnung</t>
  </si>
  <si>
    <t>Summe</t>
  </si>
  <si>
    <t>29 Tage</t>
  </si>
  <si>
    <t>Wall, Willi</t>
  </si>
  <si>
    <t>Müller-Penner, Christine</t>
  </si>
  <si>
    <t>Wedel, Heinrich</t>
  </si>
  <si>
    <t>Janzen, Anastasia (geb. Vezenova)</t>
  </si>
  <si>
    <t>Donath, Peter</t>
  </si>
  <si>
    <t>Wedel , Heinrich</t>
  </si>
  <si>
    <t>GES, Schüler 5. - 10. Klassen</t>
  </si>
  <si>
    <t>Stellenplan Ges. 5.-10. Klasse</t>
  </si>
  <si>
    <t>Rosenfeld, Sergej</t>
  </si>
  <si>
    <t>Janzen, Anastasia, geb. Bergen</t>
  </si>
  <si>
    <t>Henschel, Julia</t>
  </si>
  <si>
    <t>Itermann, Anja Jennifer</t>
  </si>
  <si>
    <t>Janzen, Markus</t>
  </si>
  <si>
    <t>Meyer, Heinz-Wilhelm</t>
  </si>
  <si>
    <t>Reimer, Dominik</t>
  </si>
  <si>
    <t>Solodjankin, Rudolf</t>
  </si>
  <si>
    <t>GSM</t>
  </si>
  <si>
    <t>Stricker, Michael</t>
  </si>
  <si>
    <t>Tielmann, Kevin</t>
  </si>
  <si>
    <t>Leitungszeit (Schulleitung)</t>
  </si>
  <si>
    <t>Digitalisierungsbeauftragter</t>
  </si>
  <si>
    <t>Zimmermann, Andrej</t>
  </si>
  <si>
    <t>Fitz, Katharina</t>
  </si>
  <si>
    <t>Friesen, Simon</t>
  </si>
  <si>
    <t>Hilgenberg, Alena (TV-L S: 20/39,83 Std.)</t>
  </si>
  <si>
    <t>Koop, Jessica (geb. Jesse)</t>
  </si>
  <si>
    <t>Lust, Viktor</t>
  </si>
  <si>
    <t>Peters, Anna</t>
  </si>
  <si>
    <t>Abrams, David</t>
  </si>
  <si>
    <t>Januar - Dezember 2024</t>
  </si>
  <si>
    <t>Kiwani, Benit</t>
  </si>
  <si>
    <t>Würz, Tobias</t>
  </si>
  <si>
    <t>Zablocki. Alexander</t>
  </si>
  <si>
    <t>Wolf, Eduard</t>
  </si>
  <si>
    <t>Jan-Juli 2024</t>
  </si>
  <si>
    <t>Aug-Dez 2024</t>
  </si>
  <si>
    <t>Teilnahme an Schulleiterqualifikation</t>
  </si>
  <si>
    <t>23,,5</t>
  </si>
  <si>
    <t>Heidebrecht, Benjamin</t>
  </si>
  <si>
    <t>Janzen, Anastasia, geb. Vezenova</t>
  </si>
  <si>
    <t>Thiessen, Swetlana</t>
  </si>
  <si>
    <t>Zablocki, Alexander</t>
  </si>
  <si>
    <t>Stand 20.03.2025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</si>
</sst>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00000"/>
  </numFmts>
  <fonts count="18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7030A0"/>
      <name val="Arial"/>
      <family val="2"/>
    </font>
    <font>
      <b/>
      <sz val="11"/>
      <color rgb="FF002060"/>
      <name val="Arial"/>
      <family val="2"/>
    </font>
    <font>
      <i/>
      <sz val="11"/>
      <color theme="8" tint="-0.499984740745262"/>
      <name val="Arial"/>
      <family val="2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10"/>
      <color rgb="FFFF0000"/>
      <name val="Arial"/>
      <family val="2"/>
    </font>
    <font>
      <sz val="11"/>
      <color rgb="FF7030A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0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0" fontId="3" fillId="0" borderId="0" xfId="0" applyFont="1"/>
    <xf numFmtId="2" fontId="6" fillId="0" borderId="0" xfId="0" applyNumberFormat="1" applyFont="1"/>
    <xf numFmtId="0" fontId="6" fillId="0" borderId="0" xfId="0" applyFont="1"/>
    <xf numFmtId="2" fontId="6" fillId="0" borderId="3" xfId="0" applyNumberFormat="1" applyFont="1" applyBorder="1"/>
    <xf numFmtId="2" fontId="6" fillId="0" borderId="4" xfId="0" applyNumberFormat="1" applyFont="1" applyBorder="1"/>
    <xf numFmtId="2" fontId="6" fillId="0" borderId="5" xfId="0" applyNumberFormat="1" applyFont="1" applyBorder="1"/>
    <xf numFmtId="2" fontId="6" fillId="0" borderId="6" xfId="0" applyNumberFormat="1" applyFont="1" applyBorder="1"/>
    <xf numFmtId="2" fontId="6" fillId="0" borderId="7" xfId="0" applyNumberFormat="1" applyFont="1" applyBorder="1"/>
    <xf numFmtId="2" fontId="6" fillId="0" borderId="1" xfId="0" applyNumberFormat="1" applyFont="1" applyBorder="1"/>
    <xf numFmtId="2" fontId="7" fillId="0" borderId="0" xfId="0" applyNumberFormat="1" applyFont="1"/>
    <xf numFmtId="0" fontId="8" fillId="0" borderId="0" xfId="0" applyFont="1"/>
    <xf numFmtId="2" fontId="7" fillId="0" borderId="2" xfId="0" applyNumberFormat="1" applyFont="1" applyBorder="1"/>
    <xf numFmtId="164" fontId="1" fillId="3" borderId="9" xfId="0" applyNumberFormat="1" applyFont="1" applyFill="1" applyBorder="1" applyAlignment="1">
      <alignment horizontal="right"/>
    </xf>
    <xf numFmtId="0" fontId="5" fillId="0" borderId="0" xfId="0" applyFont="1"/>
    <xf numFmtId="0" fontId="1" fillId="0" borderId="9" xfId="0" applyFont="1" applyBorder="1"/>
    <xf numFmtId="0" fontId="4" fillId="0" borderId="0" xfId="0" applyFont="1"/>
    <xf numFmtId="0" fontId="6" fillId="0" borderId="0" xfId="0" applyFont="1" applyAlignment="1">
      <alignment horizontal="center"/>
    </xf>
    <xf numFmtId="0" fontId="1" fillId="4" borderId="0" xfId="0" applyFont="1" applyFill="1"/>
    <xf numFmtId="0" fontId="9" fillId="4" borderId="0" xfId="0" applyFont="1" applyFill="1"/>
    <xf numFmtId="0" fontId="1" fillId="0" borderId="10" xfId="0" applyFont="1" applyBorder="1"/>
    <xf numFmtId="2" fontId="2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5" borderId="11" xfId="0" applyFont="1" applyFill="1" applyBorder="1"/>
    <xf numFmtId="0" fontId="2" fillId="5" borderId="12" xfId="0" applyFont="1" applyFill="1" applyBorder="1"/>
    <xf numFmtId="0" fontId="1" fillId="5" borderId="13" xfId="0" applyFont="1" applyFill="1" applyBorder="1"/>
    <xf numFmtId="0" fontId="1" fillId="6" borderId="14" xfId="0" applyFont="1" applyFill="1" applyBorder="1"/>
    <xf numFmtId="0" fontId="1" fillId="6" borderId="15" xfId="0" applyFont="1" applyFill="1" applyBorder="1"/>
    <xf numFmtId="0" fontId="1" fillId="6" borderId="16" xfId="0" applyFont="1" applyFill="1" applyBorder="1"/>
    <xf numFmtId="0" fontId="1" fillId="0" borderId="17" xfId="0" applyFont="1" applyBorder="1"/>
    <xf numFmtId="2" fontId="1" fillId="0" borderId="18" xfId="0" applyNumberFormat="1" applyFont="1" applyBorder="1"/>
    <xf numFmtId="0" fontId="1" fillId="6" borderId="9" xfId="0" applyFont="1" applyFill="1" applyBorder="1"/>
    <xf numFmtId="0" fontId="1" fillId="0" borderId="19" xfId="0" applyFont="1" applyBorder="1"/>
    <xf numFmtId="2" fontId="2" fillId="0" borderId="20" xfId="0" applyNumberFormat="1" applyFont="1" applyBorder="1"/>
    <xf numFmtId="0" fontId="1" fillId="5" borderId="7" xfId="0" applyFont="1" applyFill="1" applyBorder="1"/>
    <xf numFmtId="0" fontId="2" fillId="5" borderId="4" xfId="0" applyFont="1" applyFill="1" applyBorder="1"/>
    <xf numFmtId="2" fontId="1" fillId="5" borderId="21" xfId="0" applyNumberFormat="1" applyFont="1" applyFill="1" applyBorder="1"/>
    <xf numFmtId="0" fontId="1" fillId="6" borderId="17" xfId="0" applyFont="1" applyFill="1" applyBorder="1"/>
    <xf numFmtId="0" fontId="1" fillId="6" borderId="18" xfId="0" applyFont="1" applyFill="1" applyBorder="1"/>
    <xf numFmtId="0" fontId="1" fillId="0" borderId="22" xfId="0" applyFont="1" applyBorder="1"/>
    <xf numFmtId="2" fontId="1" fillId="5" borderId="13" xfId="0" applyNumberFormat="1" applyFont="1" applyFill="1" applyBorder="1"/>
    <xf numFmtId="2" fontId="7" fillId="0" borderId="24" xfId="0" applyNumberFormat="1" applyFont="1" applyBorder="1"/>
    <xf numFmtId="2" fontId="7" fillId="0" borderId="25" xfId="0" applyNumberFormat="1" applyFont="1" applyBorder="1"/>
    <xf numFmtId="49" fontId="13" fillId="0" borderId="0" xfId="1" applyNumberFormat="1" applyFont="1"/>
    <xf numFmtId="164" fontId="1" fillId="3" borderId="29" xfId="0" applyNumberFormat="1" applyFont="1" applyFill="1" applyBorder="1" applyAlignment="1">
      <alignment horizontal="right"/>
    </xf>
    <xf numFmtId="164" fontId="1" fillId="3" borderId="17" xfId="0" applyNumberFormat="1" applyFont="1" applyFill="1" applyBorder="1" applyAlignment="1">
      <alignment horizontal="right"/>
    </xf>
    <xf numFmtId="2" fontId="14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3" xfId="0" applyNumberFormat="1" applyFont="1" applyBorder="1"/>
    <xf numFmtId="2" fontId="1" fillId="0" borderId="3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2" fontId="7" fillId="0" borderId="26" xfId="0" applyNumberFormat="1" applyFont="1" applyBorder="1"/>
    <xf numFmtId="2" fontId="7" fillId="0" borderId="23" xfId="0" applyNumberFormat="1" applyFont="1" applyBorder="1"/>
    <xf numFmtId="0" fontId="1" fillId="0" borderId="7" xfId="0" applyFont="1" applyBorder="1"/>
    <xf numFmtId="0" fontId="2" fillId="0" borderId="6" xfId="0" applyFont="1" applyBorder="1"/>
    <xf numFmtId="0" fontId="2" fillId="0" borderId="5" xfId="0" applyFont="1" applyBorder="1"/>
    <xf numFmtId="2" fontId="6" fillId="0" borderId="32" xfId="0" applyNumberFormat="1" applyFont="1" applyBorder="1"/>
    <xf numFmtId="2" fontId="6" fillId="0" borderId="30" xfId="0" applyNumberFormat="1" applyFont="1" applyBorder="1"/>
    <xf numFmtId="0" fontId="11" fillId="0" borderId="6" xfId="0" applyFont="1" applyBorder="1"/>
    <xf numFmtId="0" fontId="2" fillId="0" borderId="8" xfId="0" applyFont="1" applyBorder="1"/>
    <xf numFmtId="2" fontId="7" fillId="0" borderId="33" xfId="0" applyNumberFormat="1" applyFont="1" applyBorder="1"/>
    <xf numFmtId="2" fontId="6" fillId="0" borderId="21" xfId="0" applyNumberFormat="1" applyFont="1" applyBorder="1"/>
    <xf numFmtId="2" fontId="1" fillId="0" borderId="31" xfId="0" applyNumberFormat="1" applyFont="1" applyBorder="1"/>
    <xf numFmtId="2" fontId="1" fillId="0" borderId="1" xfId="0" applyNumberFormat="1" applyFont="1" applyBorder="1"/>
    <xf numFmtId="2" fontId="1" fillId="0" borderId="6" xfId="0" applyNumberFormat="1" applyFont="1" applyBorder="1"/>
    <xf numFmtId="2" fontId="1" fillId="0" borderId="30" xfId="0" applyNumberFormat="1" applyFont="1" applyBorder="1"/>
    <xf numFmtId="2" fontId="2" fillId="0" borderId="1" xfId="0" applyNumberFormat="1" applyFont="1" applyBorder="1"/>
    <xf numFmtId="2" fontId="2" fillId="0" borderId="30" xfId="0" applyNumberFormat="1" applyFont="1" applyBorder="1"/>
    <xf numFmtId="2" fontId="1" fillId="0" borderId="24" xfId="0" applyNumberFormat="1" applyFont="1" applyBorder="1"/>
    <xf numFmtId="2" fontId="1" fillId="0" borderId="27" xfId="0" applyNumberFormat="1" applyFont="1" applyBorder="1"/>
    <xf numFmtId="2" fontId="1" fillId="0" borderId="10" xfId="0" applyNumberFormat="1" applyFont="1" applyBorder="1"/>
    <xf numFmtId="2" fontId="1" fillId="0" borderId="25" xfId="0" applyNumberFormat="1" applyFont="1" applyBorder="1"/>
    <xf numFmtId="2" fontId="1" fillId="0" borderId="20" xfId="0" applyNumberFormat="1" applyFont="1" applyBorder="1"/>
    <xf numFmtId="0" fontId="1" fillId="0" borderId="36" xfId="0" applyFont="1" applyBorder="1"/>
    <xf numFmtId="164" fontId="1" fillId="3" borderId="18" xfId="0" applyNumberFormat="1" applyFont="1" applyFill="1" applyBorder="1" applyAlignment="1">
      <alignment horizontal="right"/>
    </xf>
    <xf numFmtId="164" fontId="1" fillId="0" borderId="4" xfId="0" applyNumberFormat="1" applyFont="1" applyBorder="1"/>
    <xf numFmtId="2" fontId="1" fillId="0" borderId="5" xfId="0" applyNumberFormat="1" applyFont="1" applyBorder="1"/>
    <xf numFmtId="2" fontId="1" fillId="0" borderId="32" xfId="0" applyNumberFormat="1" applyFont="1" applyBorder="1"/>
    <xf numFmtId="2" fontId="2" fillId="0" borderId="2" xfId="0" applyNumberFormat="1" applyFont="1" applyBorder="1"/>
    <xf numFmtId="2" fontId="2" fillId="0" borderId="8" xfId="0" applyNumberFormat="1" applyFont="1" applyBorder="1"/>
    <xf numFmtId="0" fontId="1" fillId="4" borderId="38" xfId="0" applyFont="1" applyFill="1" applyBorder="1"/>
    <xf numFmtId="164" fontId="1" fillId="2" borderId="18" xfId="0" applyNumberFormat="1" applyFont="1" applyFill="1" applyBorder="1" applyAlignment="1">
      <alignment horizontal="right"/>
    </xf>
    <xf numFmtId="0" fontId="1" fillId="0" borderId="35" xfId="0" applyFont="1" applyBorder="1"/>
    <xf numFmtId="0" fontId="1" fillId="0" borderId="34" xfId="0" applyFont="1" applyBorder="1"/>
    <xf numFmtId="2" fontId="1" fillId="0" borderId="40" xfId="0" applyNumberFormat="1" applyFont="1" applyBorder="1"/>
    <xf numFmtId="2" fontId="1" fillId="0" borderId="41" xfId="0" applyNumberFormat="1" applyFont="1" applyBorder="1"/>
    <xf numFmtId="2" fontId="1" fillId="0" borderId="42" xfId="0" applyNumberFormat="1" applyFont="1" applyBorder="1"/>
    <xf numFmtId="0" fontId="2" fillId="0" borderId="23" xfId="0" applyFont="1" applyBorder="1"/>
    <xf numFmtId="0" fontId="1" fillId="0" borderId="37" xfId="0" applyFont="1" applyBorder="1"/>
    <xf numFmtId="0" fontId="1" fillId="0" borderId="5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" fillId="2" borderId="17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165" fontId="2" fillId="0" borderId="20" xfId="0" applyNumberFormat="1" applyFont="1" applyBorder="1"/>
    <xf numFmtId="164" fontId="1" fillId="0" borderId="0" xfId="0" applyNumberFormat="1" applyFont="1" applyAlignment="1">
      <alignment horizontal="right"/>
    </xf>
    <xf numFmtId="164" fontId="1" fillId="3" borderId="9" xfId="0" applyNumberFormat="1" applyFont="1" applyFill="1" applyBorder="1"/>
    <xf numFmtId="164" fontId="1" fillId="3" borderId="17" xfId="0" applyNumberFormat="1" applyFont="1" applyFill="1" applyBorder="1"/>
    <xf numFmtId="164" fontId="1" fillId="3" borderId="18" xfId="0" applyNumberFormat="1" applyFont="1" applyFill="1" applyBorder="1"/>
    <xf numFmtId="2" fontId="1" fillId="3" borderId="9" xfId="0" applyNumberFormat="1" applyFont="1" applyFill="1" applyBorder="1"/>
    <xf numFmtId="2" fontId="1" fillId="0" borderId="9" xfId="0" applyNumberFormat="1" applyFont="1" applyBorder="1"/>
    <xf numFmtId="2" fontId="1" fillId="0" borderId="29" xfId="0" applyNumberFormat="1" applyFont="1" applyBorder="1"/>
    <xf numFmtId="2" fontId="1" fillId="0" borderId="17" xfId="0" applyNumberFormat="1" applyFont="1" applyBorder="1"/>
    <xf numFmtId="2" fontId="1" fillId="0" borderId="12" xfId="0" applyNumberFormat="1" applyFont="1" applyBorder="1"/>
    <xf numFmtId="2" fontId="1" fillId="2" borderId="9" xfId="0" applyNumberFormat="1" applyFont="1" applyFill="1" applyBorder="1" applyAlignment="1">
      <alignment horizontal="right"/>
    </xf>
    <xf numFmtId="2" fontId="1" fillId="3" borderId="9" xfId="0" applyNumberFormat="1" applyFont="1" applyFill="1" applyBorder="1" applyAlignment="1">
      <alignment horizontal="right"/>
    </xf>
    <xf numFmtId="2" fontId="1" fillId="0" borderId="9" xfId="0" applyNumberFormat="1" applyFont="1" applyBorder="1" applyAlignment="1">
      <alignment horizontal="right"/>
    </xf>
    <xf numFmtId="2" fontId="1" fillId="0" borderId="29" xfId="0" applyNumberFormat="1" applyFont="1" applyBorder="1" applyAlignment="1">
      <alignment horizontal="right"/>
    </xf>
    <xf numFmtId="2" fontId="1" fillId="0" borderId="17" xfId="0" applyNumberFormat="1" applyFont="1" applyBorder="1" applyAlignment="1">
      <alignment horizontal="right"/>
    </xf>
    <xf numFmtId="2" fontId="1" fillId="0" borderId="18" xfId="0" applyNumberFormat="1" applyFont="1" applyBorder="1" applyAlignment="1">
      <alignment horizontal="right"/>
    </xf>
    <xf numFmtId="2" fontId="1" fillId="2" borderId="18" xfId="0" applyNumberFormat="1" applyFont="1" applyFill="1" applyBorder="1" applyAlignment="1">
      <alignment horizontal="right"/>
    </xf>
    <xf numFmtId="2" fontId="1" fillId="2" borderId="17" xfId="0" applyNumberFormat="1" applyFont="1" applyFill="1" applyBorder="1" applyAlignment="1">
      <alignment horizontal="right"/>
    </xf>
    <xf numFmtId="2" fontId="1" fillId="2" borderId="29" xfId="0" applyNumberFormat="1" applyFont="1" applyFill="1" applyBorder="1" applyAlignment="1">
      <alignment horizontal="right"/>
    </xf>
    <xf numFmtId="2" fontId="1" fillId="0" borderId="12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2" fontId="1" fillId="3" borderId="18" xfId="0" applyNumberFormat="1" applyFont="1" applyFill="1" applyBorder="1"/>
    <xf numFmtId="2" fontId="1" fillId="3" borderId="29" xfId="0" applyNumberFormat="1" applyFont="1" applyFill="1" applyBorder="1"/>
    <xf numFmtId="2" fontId="11" fillId="3" borderId="17" xfId="0" applyNumberFormat="1" applyFont="1" applyFill="1" applyBorder="1"/>
    <xf numFmtId="2" fontId="11" fillId="3" borderId="9" xfId="0" applyNumberFormat="1" applyFont="1" applyFill="1" applyBorder="1"/>
    <xf numFmtId="2" fontId="1" fillId="3" borderId="17" xfId="0" applyNumberFormat="1" applyFont="1" applyFill="1" applyBorder="1"/>
    <xf numFmtId="2" fontId="1" fillId="0" borderId="28" xfId="0" applyNumberFormat="1" applyFont="1" applyBorder="1"/>
    <xf numFmtId="2" fontId="1" fillId="0" borderId="19" xfId="0" applyNumberFormat="1" applyFont="1" applyBorder="1"/>
    <xf numFmtId="2" fontId="1" fillId="0" borderId="43" xfId="0" applyNumberFormat="1" applyFont="1" applyBorder="1"/>
    <xf numFmtId="2" fontId="1" fillId="0" borderId="44" xfId="0" applyNumberFormat="1" applyFont="1" applyBorder="1"/>
    <xf numFmtId="2" fontId="1" fillId="0" borderId="13" xfId="0" applyNumberFormat="1" applyFont="1" applyBorder="1"/>
    <xf numFmtId="2" fontId="1" fillId="0" borderId="0" xfId="0" applyNumberFormat="1" applyFont="1" applyAlignment="1">
      <alignment horizontal="right"/>
    </xf>
    <xf numFmtId="0" fontId="2" fillId="0" borderId="45" xfId="0" applyFont="1" applyBorder="1" applyAlignment="1">
      <alignment wrapText="1"/>
    </xf>
    <xf numFmtId="0" fontId="1" fillId="4" borderId="46" xfId="0" applyFont="1" applyFill="1" applyBorder="1"/>
    <xf numFmtId="0" fontId="1" fillId="4" borderId="47" xfId="0" applyFont="1" applyFill="1" applyBorder="1"/>
    <xf numFmtId="0" fontId="1" fillId="5" borderId="38" xfId="0" applyFont="1" applyFill="1" applyBorder="1"/>
    <xf numFmtId="0" fontId="2" fillId="8" borderId="38" xfId="0" applyFont="1" applyFill="1" applyBorder="1"/>
    <xf numFmtId="0" fontId="2" fillId="7" borderId="38" xfId="0" applyFont="1" applyFill="1" applyBorder="1"/>
    <xf numFmtId="0" fontId="1" fillId="5" borderId="47" xfId="0" applyFont="1" applyFill="1" applyBorder="1"/>
    <xf numFmtId="0" fontId="1" fillId="0" borderId="48" xfId="0" applyFont="1" applyBorder="1"/>
    <xf numFmtId="0" fontId="1" fillId="0" borderId="49" xfId="0" applyFont="1" applyBorder="1"/>
    <xf numFmtId="0" fontId="1" fillId="0" borderId="50" xfId="0" applyFont="1" applyBorder="1"/>
    <xf numFmtId="0" fontId="2" fillId="0" borderId="7" xfId="0" applyFont="1" applyBorder="1"/>
    <xf numFmtId="0" fontId="1" fillId="3" borderId="34" xfId="0" applyFont="1" applyFill="1" applyBorder="1"/>
    <xf numFmtId="0" fontId="1" fillId="3" borderId="39" xfId="0" applyFont="1" applyFill="1" applyBorder="1"/>
    <xf numFmtId="0" fontId="1" fillId="3" borderId="35" xfId="0" applyFont="1" applyFill="1" applyBorder="1"/>
    <xf numFmtId="2" fontId="1" fillId="0" borderId="51" xfId="0" applyNumberFormat="1" applyFont="1" applyBorder="1" applyAlignment="1">
      <alignment horizontal="right"/>
    </xf>
    <xf numFmtId="2" fontId="1" fillId="3" borderId="17" xfId="0" applyNumberFormat="1" applyFont="1" applyFill="1" applyBorder="1" applyAlignment="1">
      <alignment horizontal="right"/>
    </xf>
    <xf numFmtId="2" fontId="1" fillId="0" borderId="11" xfId="0" applyNumberFormat="1" applyFont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17" fontId="2" fillId="0" borderId="23" xfId="0" applyNumberFormat="1" applyFont="1" applyBorder="1" applyAlignment="1">
      <alignment horizontal="center"/>
    </xf>
    <xf numFmtId="17" fontId="2" fillId="0" borderId="24" xfId="0" applyNumberFormat="1" applyFont="1" applyBorder="1" applyAlignment="1">
      <alignment horizontal="center"/>
    </xf>
    <xf numFmtId="17" fontId="2" fillId="0" borderId="25" xfId="0" applyNumberFormat="1" applyFont="1" applyBorder="1" applyAlignment="1">
      <alignment horizontal="center"/>
    </xf>
    <xf numFmtId="0" fontId="1" fillId="0" borderId="17" xfId="0" applyFont="1" applyBorder="1" applyAlignment="1">
      <alignment horizontal="right"/>
    </xf>
    <xf numFmtId="17" fontId="2" fillId="0" borderId="26" xfId="0" applyNumberFormat="1" applyFont="1" applyBorder="1" applyAlignment="1">
      <alignment horizontal="center"/>
    </xf>
    <xf numFmtId="164" fontId="1" fillId="2" borderId="29" xfId="0" applyNumberFormat="1" applyFont="1" applyFill="1" applyBorder="1" applyAlignment="1">
      <alignment horizontal="right"/>
    </xf>
    <xf numFmtId="2" fontId="1" fillId="3" borderId="29" xfId="0" applyNumberFormat="1" applyFont="1" applyFill="1" applyBorder="1" applyAlignment="1">
      <alignment horizontal="right"/>
    </xf>
    <xf numFmtId="2" fontId="6" fillId="0" borderId="22" xfId="0" applyNumberFormat="1" applyFont="1" applyBorder="1" applyAlignment="1">
      <alignment horizontal="right"/>
    </xf>
    <xf numFmtId="2" fontId="6" fillId="0" borderId="27" xfId="0" applyNumberFormat="1" applyFont="1" applyBorder="1" applyAlignment="1">
      <alignment horizontal="right"/>
    </xf>
    <xf numFmtId="2" fontId="6" fillId="0" borderId="53" xfId="0" applyNumberFormat="1" applyFont="1" applyBorder="1" applyAlignment="1">
      <alignment horizontal="right"/>
    </xf>
    <xf numFmtId="2" fontId="6" fillId="0" borderId="31" xfId="0" applyNumberFormat="1" applyFont="1" applyBorder="1" applyAlignment="1">
      <alignment horizontal="right"/>
    </xf>
    <xf numFmtId="0" fontId="2" fillId="0" borderId="34" xfId="0" applyFont="1" applyBorder="1"/>
    <xf numFmtId="2" fontId="1" fillId="0" borderId="52" xfId="0" applyNumberFormat="1" applyFont="1" applyBorder="1"/>
    <xf numFmtId="2" fontId="1" fillId="0" borderId="11" xfId="0" applyNumberFormat="1" applyFont="1" applyBorder="1"/>
    <xf numFmtId="2" fontId="7" fillId="0" borderId="8" xfId="0" applyNumberFormat="1" applyFont="1" applyBorder="1"/>
    <xf numFmtId="2" fontId="2" fillId="0" borderId="33" xfId="0" applyNumberFormat="1" applyFont="1" applyBorder="1"/>
    <xf numFmtId="0" fontId="1" fillId="0" borderId="3" xfId="0" applyFont="1" applyBorder="1"/>
    <xf numFmtId="0" fontId="1" fillId="0" borderId="45" xfId="0" applyFont="1" applyBorder="1"/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1"/>
  <sheetViews>
    <sheetView tabSelected="1" zoomScale="85" zoomScaleNormal="85" workbookViewId="0">
      <pane ySplit="8" topLeftCell="A128" activePane="bottomLeft" state="frozen"/>
      <selection pane="bottomLeft" activeCell="L10" sqref="L10"/>
    </sheetView>
  </sheetViews>
  <sheetFormatPr baseColWidth="10" defaultColWidth="11.42578125" defaultRowHeight="14.25" x14ac:dyDescent="0.2"/>
  <cols>
    <col min="1" max="1" width="8.5703125" style="1" bestFit="1" customWidth="1"/>
    <col min="2" max="2" width="38.5703125" style="1" customWidth="1"/>
    <col min="3" max="5" width="8.85546875" style="1" customWidth="1"/>
    <col min="6" max="6" width="25.5703125" style="1" bestFit="1" customWidth="1"/>
    <col min="7" max="14" width="8.85546875" style="1" customWidth="1"/>
    <col min="15" max="15" width="11.42578125" style="97"/>
    <col min="16" max="16" width="24.5703125" style="1" customWidth="1"/>
    <col min="17" max="17" width="13.5703125" style="1" customWidth="1"/>
    <col min="18" max="18" width="9" style="1" customWidth="1"/>
    <col min="19" max="19" width="9.140625" style="1" customWidth="1"/>
    <col min="20" max="25" width="11.42578125" style="1" customWidth="1"/>
    <col min="26" max="16384" width="11.42578125" style="1"/>
  </cols>
  <sheetData>
    <row r="1" spans="1:16" ht="15" x14ac:dyDescent="0.25">
      <c r="F1" s="2" t="s">
        <v>0</v>
      </c>
      <c r="G1" s="2"/>
      <c r="H1" s="2"/>
      <c r="I1" s="2"/>
    </row>
    <row r="2" spans="1:16" ht="15" x14ac:dyDescent="0.25">
      <c r="F2" s="2" t="s">
        <v>87</v>
      </c>
      <c r="G2" s="2"/>
      <c r="H2" s="2"/>
      <c r="I2" s="2"/>
    </row>
    <row r="4" spans="1:16" ht="15" x14ac:dyDescent="0.25">
      <c r="B4" s="22" t="s">
        <v>9</v>
      </c>
      <c r="C4" s="21"/>
      <c r="D4" s="21"/>
    </row>
    <row r="5" spans="1:16" ht="15" x14ac:dyDescent="0.25">
      <c r="B5" s="22" t="s">
        <v>10</v>
      </c>
      <c r="C5" s="21"/>
      <c r="D5" s="21"/>
    </row>
    <row r="6" spans="1:16" ht="15" x14ac:dyDescent="0.25">
      <c r="B6" s="22" t="s">
        <v>11</v>
      </c>
      <c r="C6" s="21"/>
      <c r="D6" s="21"/>
    </row>
    <row r="7" spans="1:16" ht="15" thickBot="1" x14ac:dyDescent="0.25"/>
    <row r="8" spans="1:16" ht="30.75" thickBot="1" x14ac:dyDescent="0.3">
      <c r="A8" s="134" t="s">
        <v>27</v>
      </c>
      <c r="B8" s="144" t="s">
        <v>1</v>
      </c>
      <c r="C8" s="152">
        <v>45292</v>
      </c>
      <c r="D8" s="153">
        <v>45323</v>
      </c>
      <c r="E8" s="153">
        <v>45352</v>
      </c>
      <c r="F8" s="153">
        <v>45383</v>
      </c>
      <c r="G8" s="153">
        <v>45413</v>
      </c>
      <c r="H8" s="153">
        <v>45444</v>
      </c>
      <c r="I8" s="156">
        <v>45474</v>
      </c>
      <c r="J8" s="152">
        <v>45505</v>
      </c>
      <c r="K8" s="153">
        <v>45536</v>
      </c>
      <c r="L8" s="153">
        <v>45566</v>
      </c>
      <c r="M8" s="153">
        <v>45597</v>
      </c>
      <c r="N8" s="154">
        <v>45627</v>
      </c>
    </row>
    <row r="9" spans="1:16" x14ac:dyDescent="0.2">
      <c r="A9" s="135" t="s">
        <v>28</v>
      </c>
      <c r="B9" s="145" t="s">
        <v>86</v>
      </c>
      <c r="C9" s="100"/>
      <c r="D9" s="101"/>
      <c r="E9" s="101"/>
      <c r="F9" s="101"/>
      <c r="G9" s="101"/>
      <c r="H9" s="101"/>
      <c r="I9" s="157"/>
      <c r="J9" s="100"/>
      <c r="K9" s="101"/>
      <c r="L9" s="101"/>
      <c r="M9" s="16">
        <v>25.5</v>
      </c>
      <c r="N9" s="81">
        <v>25.5</v>
      </c>
    </row>
    <row r="10" spans="1:16" ht="14.25" customHeight="1" x14ac:dyDescent="0.2">
      <c r="A10" s="136" t="s">
        <v>28</v>
      </c>
      <c r="B10" s="146" t="s">
        <v>14</v>
      </c>
      <c r="C10" s="50">
        <v>22.5</v>
      </c>
      <c r="D10" s="16">
        <v>22.5</v>
      </c>
      <c r="E10" s="16">
        <v>22.5</v>
      </c>
      <c r="F10" s="16">
        <v>22.5</v>
      </c>
      <c r="G10" s="16">
        <v>22.5</v>
      </c>
      <c r="H10" s="16">
        <v>22.5</v>
      </c>
      <c r="I10" s="49">
        <v>22.5</v>
      </c>
      <c r="J10" s="50">
        <v>21.44</v>
      </c>
      <c r="K10" s="16">
        <v>19.5</v>
      </c>
      <c r="L10" s="16">
        <v>19.5</v>
      </c>
      <c r="M10" s="16">
        <v>23.5</v>
      </c>
      <c r="N10" s="81">
        <v>23.5</v>
      </c>
    </row>
    <row r="11" spans="1:16" ht="14.25" customHeight="1" x14ac:dyDescent="0.2">
      <c r="A11" s="87" t="s">
        <v>28</v>
      </c>
      <c r="B11" s="147" t="s">
        <v>50</v>
      </c>
      <c r="C11" s="50">
        <v>25.5</v>
      </c>
      <c r="D11" s="16">
        <v>25.5</v>
      </c>
      <c r="E11" s="16">
        <v>25.5</v>
      </c>
      <c r="F11" s="16">
        <v>25.5</v>
      </c>
      <c r="G11" s="16">
        <v>25.5</v>
      </c>
      <c r="H11" s="16">
        <v>25.5</v>
      </c>
      <c r="I11" s="49">
        <v>25.5</v>
      </c>
      <c r="J11" s="50">
        <v>24.44</v>
      </c>
      <c r="K11" s="16">
        <v>22.5</v>
      </c>
      <c r="L11" s="16">
        <v>22.5</v>
      </c>
      <c r="M11" s="16">
        <v>22.5</v>
      </c>
      <c r="N11" s="81">
        <v>22.5</v>
      </c>
      <c r="O11" s="98"/>
      <c r="P11" s="6"/>
    </row>
    <row r="12" spans="1:16" x14ac:dyDescent="0.2">
      <c r="A12" s="87" t="s">
        <v>28</v>
      </c>
      <c r="B12" s="147" t="s">
        <v>20</v>
      </c>
      <c r="C12" s="50">
        <v>20</v>
      </c>
      <c r="D12" s="16">
        <v>20</v>
      </c>
      <c r="E12" s="16">
        <v>20</v>
      </c>
      <c r="F12" s="16">
        <v>20</v>
      </c>
      <c r="G12" s="16">
        <v>20</v>
      </c>
      <c r="H12" s="16">
        <v>20</v>
      </c>
      <c r="I12" s="49">
        <v>20</v>
      </c>
      <c r="J12" s="50">
        <v>20.53</v>
      </c>
      <c r="K12" s="16">
        <v>21.5</v>
      </c>
      <c r="L12" s="16">
        <v>21.5</v>
      </c>
      <c r="M12" s="16">
        <v>21.5</v>
      </c>
      <c r="N12" s="81">
        <v>21.5</v>
      </c>
      <c r="O12" s="99"/>
      <c r="P12" s="6"/>
    </row>
    <row r="13" spans="1:16" ht="14.25" customHeight="1" x14ac:dyDescent="0.2">
      <c r="A13" s="87" t="s">
        <v>28</v>
      </c>
      <c r="B13" s="147" t="s">
        <v>31</v>
      </c>
      <c r="C13" s="50">
        <v>25.5</v>
      </c>
      <c r="D13" s="16">
        <v>25.5</v>
      </c>
      <c r="E13" s="16">
        <v>25.5</v>
      </c>
      <c r="F13" s="16">
        <v>25.5</v>
      </c>
      <c r="G13" s="16">
        <v>25.5</v>
      </c>
      <c r="H13" s="16">
        <v>25.5</v>
      </c>
      <c r="I13" s="49">
        <v>25.5</v>
      </c>
      <c r="J13" s="50">
        <v>25.5</v>
      </c>
      <c r="K13" s="16">
        <v>25.5</v>
      </c>
      <c r="L13" s="16">
        <v>25.5</v>
      </c>
      <c r="M13" s="16">
        <v>25.5</v>
      </c>
      <c r="N13" s="81">
        <v>25.5</v>
      </c>
      <c r="O13" s="98"/>
      <c r="P13" s="6"/>
    </row>
    <row r="14" spans="1:16" ht="14.25" customHeight="1" x14ac:dyDescent="0.2">
      <c r="A14" s="87" t="s">
        <v>28</v>
      </c>
      <c r="B14" s="147" t="s">
        <v>67</v>
      </c>
      <c r="C14" s="50">
        <v>9.5</v>
      </c>
      <c r="D14" s="16">
        <v>9.5</v>
      </c>
      <c r="E14" s="16">
        <v>9.5</v>
      </c>
      <c r="F14" s="16">
        <v>9.5</v>
      </c>
      <c r="G14" s="16">
        <v>10.5</v>
      </c>
      <c r="H14" s="16">
        <v>10.5</v>
      </c>
      <c r="I14" s="49">
        <v>10.5</v>
      </c>
      <c r="J14" s="50">
        <v>9.08</v>
      </c>
      <c r="K14" s="16">
        <v>6.5</v>
      </c>
      <c r="L14" s="16">
        <v>6.5</v>
      </c>
      <c r="M14" s="16">
        <v>6.5</v>
      </c>
      <c r="N14" s="81">
        <v>6.5</v>
      </c>
      <c r="O14" s="98"/>
      <c r="P14" s="6"/>
    </row>
    <row r="15" spans="1:16" ht="14.25" customHeight="1" x14ac:dyDescent="0.2">
      <c r="A15" s="87" t="s">
        <v>28</v>
      </c>
      <c r="B15" s="147" t="s">
        <v>70</v>
      </c>
      <c r="C15" s="50">
        <v>25.5</v>
      </c>
      <c r="D15" s="16">
        <v>25.5</v>
      </c>
      <c r="E15" s="16">
        <v>25.5</v>
      </c>
      <c r="F15" s="16">
        <v>25.5</v>
      </c>
      <c r="G15" s="16">
        <v>25.5</v>
      </c>
      <c r="H15" s="16">
        <v>25.5</v>
      </c>
      <c r="I15" s="49">
        <v>25.5</v>
      </c>
      <c r="J15" s="50">
        <v>25.5</v>
      </c>
      <c r="K15" s="16">
        <v>25.5</v>
      </c>
      <c r="L15" s="16">
        <v>25.5</v>
      </c>
      <c r="M15" s="16">
        <v>25.5</v>
      </c>
      <c r="N15" s="81">
        <v>25.5</v>
      </c>
      <c r="O15" s="98"/>
      <c r="P15" s="6"/>
    </row>
    <row r="16" spans="1:16" ht="14.25" customHeight="1" x14ac:dyDescent="0.2">
      <c r="A16" s="87" t="s">
        <v>28</v>
      </c>
      <c r="B16" s="147" t="s">
        <v>22</v>
      </c>
      <c r="C16" s="50">
        <v>23.5</v>
      </c>
      <c r="D16" s="16">
        <v>23.5</v>
      </c>
      <c r="E16" s="16">
        <v>23.5</v>
      </c>
      <c r="F16" s="16">
        <v>23.5</v>
      </c>
      <c r="G16" s="16">
        <v>23.5</v>
      </c>
      <c r="H16" s="16">
        <v>23.5</v>
      </c>
      <c r="I16" s="49">
        <v>23.5</v>
      </c>
      <c r="J16" s="50">
        <v>23.85</v>
      </c>
      <c r="K16" s="16">
        <v>24.5</v>
      </c>
      <c r="L16" s="16">
        <v>24.5</v>
      </c>
      <c r="M16" s="16">
        <v>24.5</v>
      </c>
      <c r="N16" s="81">
        <v>24.5</v>
      </c>
      <c r="O16" s="98"/>
      <c r="P16" s="6"/>
    </row>
    <row r="17" spans="1:23" ht="14.25" customHeight="1" x14ac:dyDescent="0.2">
      <c r="A17" s="87" t="s">
        <v>28</v>
      </c>
      <c r="B17" s="147" t="s">
        <v>84</v>
      </c>
      <c r="C17" s="50">
        <v>25.5</v>
      </c>
      <c r="D17" s="16">
        <v>25.5</v>
      </c>
      <c r="E17" s="16">
        <v>25.5</v>
      </c>
      <c r="F17" s="16">
        <v>25.5</v>
      </c>
      <c r="G17" s="16">
        <v>25.5</v>
      </c>
      <c r="H17" s="16">
        <v>25.5</v>
      </c>
      <c r="I17" s="49">
        <v>25.5</v>
      </c>
      <c r="J17" s="50">
        <v>24.966999999999999</v>
      </c>
      <c r="K17" s="16">
        <v>24</v>
      </c>
      <c r="L17" s="16">
        <v>24</v>
      </c>
      <c r="M17" s="16">
        <v>24</v>
      </c>
      <c r="N17" s="81">
        <v>24</v>
      </c>
      <c r="O17" s="98"/>
      <c r="P17" s="6"/>
    </row>
    <row r="18" spans="1:23" ht="14.25" customHeight="1" x14ac:dyDescent="0.2">
      <c r="A18" s="87" t="s">
        <v>28</v>
      </c>
      <c r="B18" s="147" t="s">
        <v>15</v>
      </c>
      <c r="C18" s="50">
        <v>20.5</v>
      </c>
      <c r="D18" s="16">
        <v>20.5</v>
      </c>
      <c r="E18" s="16">
        <v>20.5</v>
      </c>
      <c r="F18" s="16">
        <v>20.5</v>
      </c>
      <c r="G18" s="16">
        <v>20.5</v>
      </c>
      <c r="H18" s="16">
        <v>20.5</v>
      </c>
      <c r="I18" s="49">
        <v>20.5</v>
      </c>
      <c r="J18" s="50">
        <v>20.149999999999999</v>
      </c>
      <c r="K18" s="16">
        <v>19.5</v>
      </c>
      <c r="L18" s="16">
        <v>19.5</v>
      </c>
      <c r="M18" s="16">
        <v>19.5</v>
      </c>
      <c r="N18" s="81">
        <v>19.5</v>
      </c>
      <c r="O18" s="98"/>
      <c r="P18" s="6"/>
    </row>
    <row r="19" spans="1:23" ht="14.25" customHeight="1" x14ac:dyDescent="0.2">
      <c r="A19" s="87" t="s">
        <v>28</v>
      </c>
      <c r="B19" s="147" t="s">
        <v>51</v>
      </c>
      <c r="C19" s="50">
        <v>25.5</v>
      </c>
      <c r="D19" s="16">
        <v>25.5</v>
      </c>
      <c r="E19" s="16">
        <v>25.5</v>
      </c>
      <c r="F19" s="16">
        <v>25.5</v>
      </c>
      <c r="G19" s="16">
        <v>25.5</v>
      </c>
      <c r="H19" s="16">
        <v>25.5</v>
      </c>
      <c r="I19" s="49">
        <v>25.5</v>
      </c>
      <c r="J19" s="50">
        <v>25.5</v>
      </c>
      <c r="K19" s="16">
        <v>25.5</v>
      </c>
      <c r="L19" s="16">
        <v>25.5</v>
      </c>
      <c r="M19" s="16">
        <v>25.5</v>
      </c>
      <c r="N19" s="81">
        <v>25.5</v>
      </c>
      <c r="O19" s="98"/>
      <c r="P19" s="6"/>
    </row>
    <row r="20" spans="1:23" ht="14.25" customHeight="1" x14ac:dyDescent="0.2">
      <c r="A20" s="137" t="s">
        <v>29</v>
      </c>
      <c r="B20" s="147" t="s">
        <v>21</v>
      </c>
      <c r="C20" s="50">
        <v>2</v>
      </c>
      <c r="D20" s="16">
        <v>2</v>
      </c>
      <c r="E20" s="16">
        <v>2</v>
      </c>
      <c r="F20" s="16">
        <v>2</v>
      </c>
      <c r="G20" s="16">
        <v>2</v>
      </c>
      <c r="H20" s="16">
        <v>2</v>
      </c>
      <c r="I20" s="49">
        <v>2</v>
      </c>
      <c r="J20" s="50">
        <v>1.29</v>
      </c>
      <c r="K20" s="16">
        <v>0</v>
      </c>
      <c r="L20" s="16">
        <v>0</v>
      </c>
      <c r="M20" s="16">
        <v>0</v>
      </c>
      <c r="N20" s="81">
        <v>0</v>
      </c>
      <c r="O20" s="98"/>
      <c r="P20" s="6"/>
    </row>
    <row r="21" spans="1:23" ht="14.25" customHeight="1" x14ac:dyDescent="0.25">
      <c r="A21" s="138" t="s">
        <v>74</v>
      </c>
      <c r="B21" s="147" t="s">
        <v>85</v>
      </c>
      <c r="C21" s="50">
        <v>20.5</v>
      </c>
      <c r="D21" s="16">
        <v>20.5</v>
      </c>
      <c r="E21" s="16">
        <v>20.5</v>
      </c>
      <c r="F21" s="16">
        <v>20.5</v>
      </c>
      <c r="G21" s="16">
        <v>20.5</v>
      </c>
      <c r="H21" s="16">
        <v>20.5</v>
      </c>
      <c r="I21" s="49">
        <v>20.5</v>
      </c>
      <c r="J21" s="50">
        <v>20.5</v>
      </c>
      <c r="K21" s="16">
        <v>20.5</v>
      </c>
      <c r="L21" s="16">
        <v>20.5</v>
      </c>
      <c r="M21" s="16">
        <v>20.5</v>
      </c>
      <c r="N21" s="81">
        <v>20.5</v>
      </c>
      <c r="O21" s="99"/>
      <c r="P21" s="6"/>
    </row>
    <row r="22" spans="1:23" ht="14.25" customHeight="1" x14ac:dyDescent="0.2">
      <c r="A22" s="87" t="s">
        <v>28</v>
      </c>
      <c r="B22" s="147" t="s">
        <v>49</v>
      </c>
      <c r="C22" s="50">
        <v>1.45</v>
      </c>
      <c r="D22" s="16">
        <v>22.5</v>
      </c>
      <c r="E22" s="16">
        <v>22.5</v>
      </c>
      <c r="F22" s="16">
        <v>22.5</v>
      </c>
      <c r="G22" s="16">
        <v>22.5</v>
      </c>
      <c r="H22" s="16">
        <v>22.5</v>
      </c>
      <c r="I22" s="49">
        <v>22.5</v>
      </c>
      <c r="J22" s="50">
        <v>22.853999999999999</v>
      </c>
      <c r="K22" s="16">
        <v>23.5</v>
      </c>
      <c r="L22" s="16">
        <v>23.5</v>
      </c>
      <c r="M22" s="16">
        <v>23.5</v>
      </c>
      <c r="N22" s="81">
        <v>23.5</v>
      </c>
      <c r="O22" s="99"/>
      <c r="P22" s="6"/>
      <c r="W22"/>
    </row>
    <row r="23" spans="1:23" ht="14.25" customHeight="1" x14ac:dyDescent="0.2">
      <c r="A23" s="137" t="s">
        <v>29</v>
      </c>
      <c r="B23" s="147" t="s">
        <v>16</v>
      </c>
      <c r="C23" s="50">
        <v>7</v>
      </c>
      <c r="D23" s="16">
        <v>7</v>
      </c>
      <c r="E23" s="16">
        <v>7</v>
      </c>
      <c r="F23" s="16">
        <v>7</v>
      </c>
      <c r="G23" s="16">
        <v>7</v>
      </c>
      <c r="H23" s="16">
        <v>7</v>
      </c>
      <c r="I23" s="49">
        <v>7</v>
      </c>
      <c r="J23" s="50">
        <v>5.94</v>
      </c>
      <c r="K23" s="16">
        <v>4</v>
      </c>
      <c r="L23" s="16">
        <v>4</v>
      </c>
      <c r="M23" s="16">
        <v>4</v>
      </c>
      <c r="N23" s="81">
        <v>4</v>
      </c>
      <c r="O23" s="98"/>
      <c r="P23" s="6"/>
      <c r="W23"/>
    </row>
    <row r="24" spans="1:23" ht="14.25" customHeight="1" x14ac:dyDescent="0.2">
      <c r="A24" s="87" t="s">
        <v>28</v>
      </c>
      <c r="B24" s="147" t="s">
        <v>32</v>
      </c>
      <c r="C24" s="50">
        <v>25.5</v>
      </c>
      <c r="D24" s="16">
        <v>25.5</v>
      </c>
      <c r="E24" s="16">
        <v>25.5</v>
      </c>
      <c r="F24" s="16">
        <v>25.5</v>
      </c>
      <c r="G24" s="16">
        <v>25.5</v>
      </c>
      <c r="H24" s="16">
        <v>25.5</v>
      </c>
      <c r="I24" s="49">
        <v>25.5</v>
      </c>
      <c r="J24" s="50">
        <v>25.5</v>
      </c>
      <c r="K24" s="16">
        <v>25.5</v>
      </c>
      <c r="L24" s="16">
        <v>13.98</v>
      </c>
      <c r="M24" s="16">
        <v>0</v>
      </c>
      <c r="N24" s="81">
        <v>11.516</v>
      </c>
      <c r="O24" s="99"/>
      <c r="P24" s="6"/>
      <c r="W24"/>
    </row>
    <row r="25" spans="1:23" ht="14.25" customHeight="1" x14ac:dyDescent="0.25">
      <c r="A25" s="139" t="s">
        <v>33</v>
      </c>
      <c r="B25" s="147" t="s">
        <v>41</v>
      </c>
      <c r="C25" s="50">
        <v>2</v>
      </c>
      <c r="D25" s="16">
        <v>2</v>
      </c>
      <c r="E25" s="16">
        <v>2</v>
      </c>
      <c r="F25" s="16">
        <v>2</v>
      </c>
      <c r="G25" s="16">
        <v>2</v>
      </c>
      <c r="H25" s="16">
        <v>2</v>
      </c>
      <c r="I25" s="49">
        <v>2</v>
      </c>
      <c r="J25" s="50">
        <v>2</v>
      </c>
      <c r="K25" s="16">
        <v>2</v>
      </c>
      <c r="L25" s="16">
        <v>2</v>
      </c>
      <c r="M25" s="16">
        <v>2</v>
      </c>
      <c r="N25" s="81">
        <v>2</v>
      </c>
      <c r="O25" s="98"/>
      <c r="P25" s="6"/>
      <c r="W25"/>
    </row>
    <row r="26" spans="1:23" ht="14.25" customHeight="1" x14ac:dyDescent="0.2">
      <c r="A26" s="87" t="s">
        <v>28</v>
      </c>
      <c r="B26" s="147" t="s">
        <v>34</v>
      </c>
      <c r="C26" s="50">
        <v>14</v>
      </c>
      <c r="D26" s="16">
        <v>14</v>
      </c>
      <c r="E26" s="16">
        <v>14</v>
      </c>
      <c r="F26" s="16">
        <v>14</v>
      </c>
      <c r="G26" s="16">
        <v>14</v>
      </c>
      <c r="H26" s="16">
        <v>14</v>
      </c>
      <c r="I26" s="49">
        <v>14</v>
      </c>
      <c r="J26" s="50">
        <v>14.7096</v>
      </c>
      <c r="K26" s="16">
        <v>16</v>
      </c>
      <c r="L26" s="16">
        <v>16</v>
      </c>
      <c r="M26" s="16">
        <v>17.5</v>
      </c>
      <c r="N26" s="81">
        <v>16.821999999999999</v>
      </c>
      <c r="O26" s="99"/>
      <c r="P26" s="6"/>
      <c r="W26"/>
    </row>
    <row r="27" spans="1:23" ht="14.25" customHeight="1" x14ac:dyDescent="0.2">
      <c r="A27" s="87" t="s">
        <v>28</v>
      </c>
      <c r="B27" s="147" t="s">
        <v>17</v>
      </c>
      <c r="C27" s="50">
        <v>25.5</v>
      </c>
      <c r="D27" s="16">
        <v>25.5</v>
      </c>
      <c r="E27" s="16">
        <v>25.5</v>
      </c>
      <c r="F27" s="16">
        <v>25.5</v>
      </c>
      <c r="G27" s="16">
        <v>25.5</v>
      </c>
      <c r="H27" s="16">
        <v>25.5</v>
      </c>
      <c r="I27" s="49">
        <v>25.5</v>
      </c>
      <c r="J27" s="50">
        <v>25.5</v>
      </c>
      <c r="K27" s="16">
        <v>25.5</v>
      </c>
      <c r="L27" s="16">
        <v>25.5</v>
      </c>
      <c r="M27" s="16">
        <v>25.5</v>
      </c>
      <c r="N27" s="81">
        <v>25.5</v>
      </c>
      <c r="O27" s="98"/>
      <c r="P27" s="6"/>
      <c r="T27"/>
      <c r="U27"/>
      <c r="V27"/>
      <c r="W27"/>
    </row>
    <row r="28" spans="1:23" ht="14.25" customHeight="1" x14ac:dyDescent="0.2">
      <c r="A28" s="87" t="s">
        <v>28</v>
      </c>
      <c r="B28" s="147" t="s">
        <v>76</v>
      </c>
      <c r="C28" s="50">
        <v>20.5</v>
      </c>
      <c r="D28" s="16">
        <v>20.5</v>
      </c>
      <c r="E28" s="16">
        <v>20.5</v>
      </c>
      <c r="F28" s="16">
        <v>20.5</v>
      </c>
      <c r="G28" s="16">
        <v>20.5</v>
      </c>
      <c r="H28" s="16">
        <v>20.5</v>
      </c>
      <c r="I28" s="49">
        <v>20.5</v>
      </c>
      <c r="J28" s="50">
        <v>19.434999999999999</v>
      </c>
      <c r="K28" s="16">
        <v>17.5</v>
      </c>
      <c r="L28" s="16">
        <v>17.5</v>
      </c>
      <c r="M28" s="16">
        <v>17.5</v>
      </c>
      <c r="N28" s="81">
        <v>17.5</v>
      </c>
      <c r="O28" s="99"/>
      <c r="P28" s="6"/>
      <c r="T28"/>
      <c r="U28"/>
      <c r="V28"/>
      <c r="W28"/>
    </row>
    <row r="29" spans="1:23" ht="14.25" customHeight="1" x14ac:dyDescent="0.25">
      <c r="A29" s="87" t="s">
        <v>28</v>
      </c>
      <c r="B29" s="147" t="s">
        <v>42</v>
      </c>
      <c r="C29" s="50">
        <v>18.5</v>
      </c>
      <c r="D29" s="16">
        <v>18.5</v>
      </c>
      <c r="E29" s="16">
        <v>18.5</v>
      </c>
      <c r="F29" s="16">
        <v>18.5</v>
      </c>
      <c r="G29" s="16">
        <v>13.13</v>
      </c>
      <c r="H29" s="16">
        <v>4.93</v>
      </c>
      <c r="I29" s="49">
        <v>18.5</v>
      </c>
      <c r="J29" s="50">
        <v>19.564</v>
      </c>
      <c r="K29" s="16">
        <v>21.5</v>
      </c>
      <c r="L29" s="16">
        <v>21.5</v>
      </c>
      <c r="M29" s="16">
        <v>21.5</v>
      </c>
      <c r="N29" s="81">
        <v>21.5</v>
      </c>
      <c r="O29" s="99"/>
      <c r="P29" s="6"/>
      <c r="T29" s="27" t="s">
        <v>55</v>
      </c>
      <c r="W29"/>
    </row>
    <row r="30" spans="1:23" ht="14.25" customHeight="1" thickBot="1" x14ac:dyDescent="0.25">
      <c r="A30" s="87" t="s">
        <v>28</v>
      </c>
      <c r="B30" s="147" t="s">
        <v>30</v>
      </c>
      <c r="C30" s="50">
        <v>25.5</v>
      </c>
      <c r="D30" s="16">
        <v>25.5</v>
      </c>
      <c r="E30" s="16">
        <v>25.5</v>
      </c>
      <c r="F30" s="16">
        <v>25.5</v>
      </c>
      <c r="G30" s="16">
        <v>25.5</v>
      </c>
      <c r="H30" s="16">
        <v>25.5</v>
      </c>
      <c r="I30" s="49">
        <v>25.5</v>
      </c>
      <c r="J30" s="50">
        <v>24.61</v>
      </c>
      <c r="K30" s="16">
        <v>23</v>
      </c>
      <c r="L30" s="16">
        <v>23</v>
      </c>
      <c r="M30" s="16">
        <v>23</v>
      </c>
      <c r="N30" s="81">
        <v>23</v>
      </c>
      <c r="O30" s="98"/>
      <c r="P30" s="6"/>
      <c r="W30"/>
    </row>
    <row r="31" spans="1:23" ht="14.25" customHeight="1" thickBot="1" x14ac:dyDescent="0.3">
      <c r="A31" s="87" t="s">
        <v>28</v>
      </c>
      <c r="B31" s="147" t="s">
        <v>58</v>
      </c>
      <c r="C31" s="50">
        <v>13</v>
      </c>
      <c r="D31" s="16">
        <v>13</v>
      </c>
      <c r="E31" s="16">
        <v>13</v>
      </c>
      <c r="F31" s="16">
        <v>13</v>
      </c>
      <c r="G31" s="16">
        <v>13</v>
      </c>
      <c r="H31" s="16">
        <v>13</v>
      </c>
      <c r="I31" s="49">
        <v>13</v>
      </c>
      <c r="J31" s="100"/>
      <c r="K31" s="101"/>
      <c r="L31" s="101"/>
      <c r="M31" s="101"/>
      <c r="N31" s="88"/>
      <c r="O31" s="99"/>
      <c r="P31" s="6"/>
      <c r="T31" s="28"/>
      <c r="U31" s="29" t="s">
        <v>43</v>
      </c>
      <c r="V31" s="30"/>
      <c r="W31"/>
    </row>
    <row r="32" spans="1:23" ht="14.25" customHeight="1" x14ac:dyDescent="0.2">
      <c r="A32" s="87" t="s">
        <v>28</v>
      </c>
      <c r="B32" s="147" t="s">
        <v>60</v>
      </c>
      <c r="C32" s="50">
        <v>25.5</v>
      </c>
      <c r="D32" s="16">
        <v>4.4000000000000004</v>
      </c>
      <c r="E32" s="16">
        <v>0</v>
      </c>
      <c r="F32" s="16">
        <v>21.25</v>
      </c>
      <c r="G32" s="16">
        <v>25.5</v>
      </c>
      <c r="H32" s="16">
        <v>25.5</v>
      </c>
      <c r="I32" s="49">
        <v>25.5</v>
      </c>
      <c r="J32" s="50">
        <v>25.5</v>
      </c>
      <c r="K32" s="16">
        <v>25.5</v>
      </c>
      <c r="L32" s="16">
        <v>25.5</v>
      </c>
      <c r="M32" s="16">
        <v>25.5</v>
      </c>
      <c r="N32" s="81">
        <v>25.5</v>
      </c>
      <c r="O32" s="99"/>
      <c r="P32" s="6"/>
      <c r="T32" s="31" t="s">
        <v>44</v>
      </c>
      <c r="U32" s="32" t="s">
        <v>45</v>
      </c>
      <c r="V32" s="33" t="s">
        <v>56</v>
      </c>
      <c r="W32"/>
    </row>
    <row r="33" spans="1:23" ht="14.25" customHeight="1" x14ac:dyDescent="0.2">
      <c r="A33" s="87" t="s">
        <v>28</v>
      </c>
      <c r="B33" s="147" t="s">
        <v>18</v>
      </c>
      <c r="C33" s="50">
        <v>23.5</v>
      </c>
      <c r="D33" s="16">
        <v>23.5</v>
      </c>
      <c r="E33" s="16">
        <v>23.5</v>
      </c>
      <c r="F33" s="16">
        <v>23.5</v>
      </c>
      <c r="G33" s="16">
        <v>23.5</v>
      </c>
      <c r="H33" s="16">
        <v>23.5</v>
      </c>
      <c r="I33" s="49">
        <v>23.5</v>
      </c>
      <c r="J33" s="50">
        <v>23.85</v>
      </c>
      <c r="K33" s="16">
        <v>24.5</v>
      </c>
      <c r="L33" s="16">
        <v>24.5</v>
      </c>
      <c r="M33" s="16">
        <v>24.5</v>
      </c>
      <c r="N33" s="81">
        <v>24.5</v>
      </c>
      <c r="O33" s="98"/>
      <c r="P33" s="6"/>
      <c r="T33" s="34">
        <v>18</v>
      </c>
      <c r="U33" s="18">
        <v>20</v>
      </c>
      <c r="V33" s="35">
        <f>SUM(T33/31*U33)</f>
        <v>11.612903225806452</v>
      </c>
      <c r="W33"/>
    </row>
    <row r="34" spans="1:23" ht="14.25" customHeight="1" x14ac:dyDescent="0.2">
      <c r="A34" s="87" t="s">
        <v>28</v>
      </c>
      <c r="B34" s="147" t="s">
        <v>19</v>
      </c>
      <c r="C34" s="50">
        <v>24.5</v>
      </c>
      <c r="D34" s="16">
        <v>24.5</v>
      </c>
      <c r="E34" s="16">
        <v>24.5</v>
      </c>
      <c r="F34" s="16">
        <v>24.5</v>
      </c>
      <c r="G34" s="16">
        <v>24.5</v>
      </c>
      <c r="H34" s="16">
        <v>24.5</v>
      </c>
      <c r="I34" s="49">
        <v>24.5</v>
      </c>
      <c r="J34" s="50">
        <v>24.145</v>
      </c>
      <c r="K34" s="16">
        <v>23.5</v>
      </c>
      <c r="L34" s="16" t="s">
        <v>95</v>
      </c>
      <c r="M34" s="16">
        <v>24.5</v>
      </c>
      <c r="N34" s="81">
        <v>24.047999999999998</v>
      </c>
      <c r="O34" s="98"/>
      <c r="P34" s="6"/>
      <c r="T34" s="34">
        <v>20</v>
      </c>
      <c r="U34" s="36">
        <f>31-U33</f>
        <v>11</v>
      </c>
      <c r="V34" s="35">
        <f>SUM(T34/31*U34)</f>
        <v>7.096774193548387</v>
      </c>
      <c r="W34"/>
    </row>
    <row r="35" spans="1:23" ht="14.25" customHeight="1" x14ac:dyDescent="0.2">
      <c r="A35" s="87" t="s">
        <v>28</v>
      </c>
      <c r="B35" s="147" t="s">
        <v>91</v>
      </c>
      <c r="C35" s="119"/>
      <c r="D35" s="112"/>
      <c r="E35" s="112"/>
      <c r="F35" s="112"/>
      <c r="G35" s="112"/>
      <c r="H35" s="112"/>
      <c r="I35" s="120"/>
      <c r="J35" s="50">
        <v>25.5</v>
      </c>
      <c r="K35" s="16">
        <v>25.5</v>
      </c>
      <c r="L35" s="16">
        <v>25.5</v>
      </c>
      <c r="M35" s="16">
        <v>25.5</v>
      </c>
      <c r="N35" s="81">
        <v>25.5</v>
      </c>
      <c r="O35" s="98"/>
      <c r="P35" s="103"/>
      <c r="T35" s="34">
        <v>0</v>
      </c>
      <c r="U35" s="36">
        <f>(31-U33-U34)</f>
        <v>0</v>
      </c>
      <c r="V35" s="35">
        <f>SUM(T35/31*U35)</f>
        <v>0</v>
      </c>
      <c r="W35"/>
    </row>
    <row r="36" spans="1:23" ht="14.25" customHeight="1" thickBot="1" x14ac:dyDescent="0.3">
      <c r="A36" s="140" t="s">
        <v>29</v>
      </c>
      <c r="B36" s="147" t="s">
        <v>79</v>
      </c>
      <c r="C36" s="149">
        <v>3</v>
      </c>
      <c r="D36" s="113">
        <v>3</v>
      </c>
      <c r="E36" s="113">
        <v>3</v>
      </c>
      <c r="F36" s="113">
        <v>3</v>
      </c>
      <c r="G36" s="113">
        <v>3</v>
      </c>
      <c r="H36" s="113">
        <v>3</v>
      </c>
      <c r="I36" s="158">
        <v>3</v>
      </c>
      <c r="J36" s="50">
        <v>1.94</v>
      </c>
      <c r="K36" s="16">
        <v>0</v>
      </c>
      <c r="L36" s="16">
        <v>0</v>
      </c>
      <c r="M36" s="16">
        <v>0</v>
      </c>
      <c r="N36" s="81">
        <v>0</v>
      </c>
      <c r="O36" s="98"/>
      <c r="P36" s="6"/>
      <c r="T36" s="37"/>
      <c r="U36" s="23"/>
      <c r="V36" s="102">
        <f>SUM(V33:V35)</f>
        <v>18.70967741935484</v>
      </c>
      <c r="W36"/>
    </row>
    <row r="37" spans="1:23" ht="14.25" customHeight="1" x14ac:dyDescent="0.25">
      <c r="A37" s="87" t="s">
        <v>28</v>
      </c>
      <c r="B37" s="89" t="s">
        <v>86</v>
      </c>
      <c r="C37" s="116">
        <v>17.5</v>
      </c>
      <c r="D37" s="114">
        <v>17.5</v>
      </c>
      <c r="E37" s="114">
        <v>17.5</v>
      </c>
      <c r="F37" s="114">
        <v>14.58</v>
      </c>
      <c r="G37" s="114">
        <v>3.39</v>
      </c>
      <c r="H37" s="114">
        <v>17.5</v>
      </c>
      <c r="I37" s="115">
        <v>17.5</v>
      </c>
      <c r="J37" s="116">
        <v>20.338699999999999</v>
      </c>
      <c r="K37" s="114">
        <v>25.5</v>
      </c>
      <c r="L37" s="114">
        <v>25.5</v>
      </c>
      <c r="M37" s="112"/>
      <c r="N37" s="118"/>
      <c r="O37" s="99"/>
      <c r="P37" s="6"/>
      <c r="V37" s="24"/>
      <c r="W37"/>
    </row>
    <row r="38" spans="1:23" ht="14.25" customHeight="1" thickBot="1" x14ac:dyDescent="0.3">
      <c r="A38" s="87" t="s">
        <v>28</v>
      </c>
      <c r="B38" s="89" t="s">
        <v>52</v>
      </c>
      <c r="C38" s="116">
        <v>0</v>
      </c>
      <c r="D38" s="114">
        <v>0</v>
      </c>
      <c r="E38" s="114">
        <v>0</v>
      </c>
      <c r="F38" s="114">
        <v>0</v>
      </c>
      <c r="G38" s="114">
        <v>0</v>
      </c>
      <c r="H38" s="114">
        <v>0</v>
      </c>
      <c r="I38" s="115">
        <v>0</v>
      </c>
      <c r="J38" s="116">
        <v>0</v>
      </c>
      <c r="K38" s="114">
        <v>0</v>
      </c>
      <c r="L38" s="114">
        <v>0</v>
      </c>
      <c r="M38" s="114">
        <v>0</v>
      </c>
      <c r="N38" s="117">
        <v>0</v>
      </c>
      <c r="O38" s="99"/>
      <c r="P38" s="6"/>
      <c r="V38" s="24"/>
      <c r="W38"/>
    </row>
    <row r="39" spans="1:23" ht="14.25" customHeight="1" thickBot="1" x14ac:dyDescent="0.3">
      <c r="A39" s="87" t="s">
        <v>28</v>
      </c>
      <c r="B39" s="89" t="s">
        <v>80</v>
      </c>
      <c r="C39" s="116">
        <v>19.5</v>
      </c>
      <c r="D39" s="114">
        <v>19.5</v>
      </c>
      <c r="E39" s="114">
        <v>19.5</v>
      </c>
      <c r="F39" s="114">
        <v>19.5</v>
      </c>
      <c r="G39" s="114">
        <v>19.5</v>
      </c>
      <c r="H39" s="114">
        <v>19.5</v>
      </c>
      <c r="I39" s="115">
        <v>19.5</v>
      </c>
      <c r="J39" s="116">
        <v>15.725</v>
      </c>
      <c r="K39" s="114">
        <v>0</v>
      </c>
      <c r="L39" s="114">
        <v>0</v>
      </c>
      <c r="M39" s="114">
        <v>0</v>
      </c>
      <c r="N39" s="117">
        <v>0</v>
      </c>
      <c r="O39" s="99"/>
      <c r="P39" s="6"/>
      <c r="T39" s="39"/>
      <c r="U39" s="40" t="s">
        <v>46</v>
      </c>
      <c r="V39" s="41"/>
      <c r="W39"/>
    </row>
    <row r="40" spans="1:23" ht="13.5" customHeight="1" x14ac:dyDescent="0.2">
      <c r="A40" s="137" t="s">
        <v>29</v>
      </c>
      <c r="B40" s="89" t="s">
        <v>81</v>
      </c>
      <c r="C40" s="116">
        <v>4</v>
      </c>
      <c r="D40" s="114">
        <v>4</v>
      </c>
      <c r="E40" s="114">
        <v>4</v>
      </c>
      <c r="F40" s="114">
        <v>4</v>
      </c>
      <c r="G40" s="114">
        <v>4</v>
      </c>
      <c r="H40" s="114">
        <v>4</v>
      </c>
      <c r="I40" s="115">
        <v>4</v>
      </c>
      <c r="J40" s="116">
        <v>3.29</v>
      </c>
      <c r="K40" s="114">
        <v>2</v>
      </c>
      <c r="L40" s="114">
        <v>2</v>
      </c>
      <c r="M40" s="114">
        <v>2</v>
      </c>
      <c r="N40" s="117">
        <v>2</v>
      </c>
      <c r="O40" s="99"/>
      <c r="P40" s="6"/>
      <c r="T40" s="42" t="s">
        <v>44</v>
      </c>
      <c r="U40" s="36" t="s">
        <v>45</v>
      </c>
      <c r="V40" s="43" t="s">
        <v>56</v>
      </c>
      <c r="W40"/>
    </row>
    <row r="41" spans="1:23" ht="14.25" customHeight="1" x14ac:dyDescent="0.25">
      <c r="A41" s="87" t="s">
        <v>28</v>
      </c>
      <c r="B41" s="89" t="s">
        <v>37</v>
      </c>
      <c r="C41" s="116">
        <v>25.5</v>
      </c>
      <c r="D41" s="114">
        <v>25.5</v>
      </c>
      <c r="E41" s="114">
        <v>25.5</v>
      </c>
      <c r="F41" s="114">
        <v>25.5</v>
      </c>
      <c r="G41" s="114">
        <v>25.5</v>
      </c>
      <c r="H41" s="114">
        <v>25.5</v>
      </c>
      <c r="I41" s="115">
        <v>25.5</v>
      </c>
      <c r="J41" s="116">
        <v>25.5</v>
      </c>
      <c r="K41" s="114">
        <v>25.5</v>
      </c>
      <c r="L41" s="114">
        <v>25.5</v>
      </c>
      <c r="M41" s="114">
        <v>25.5</v>
      </c>
      <c r="N41" s="117">
        <v>25.5</v>
      </c>
      <c r="O41" s="98"/>
      <c r="P41" s="6"/>
      <c r="Q41" s="2"/>
      <c r="R41" s="3"/>
      <c r="T41" s="34">
        <v>0</v>
      </c>
      <c r="U41" s="18">
        <v>7</v>
      </c>
      <c r="V41" s="35">
        <f>SUM(T41/30*U41)</f>
        <v>0</v>
      </c>
      <c r="W41"/>
    </row>
    <row r="42" spans="1:23" ht="14.25" customHeight="1" x14ac:dyDescent="0.25">
      <c r="A42" s="87" t="s">
        <v>28</v>
      </c>
      <c r="B42" s="89" t="s">
        <v>38</v>
      </c>
      <c r="C42" s="116">
        <v>19.5</v>
      </c>
      <c r="D42" s="114">
        <v>19.5</v>
      </c>
      <c r="E42" s="114">
        <v>19.5</v>
      </c>
      <c r="F42" s="114">
        <v>19.5</v>
      </c>
      <c r="G42" s="114">
        <v>19.5</v>
      </c>
      <c r="H42" s="114">
        <v>19.5</v>
      </c>
      <c r="I42" s="115">
        <v>19.5</v>
      </c>
      <c r="J42" s="116">
        <v>25.5</v>
      </c>
      <c r="K42" s="114">
        <v>25.5</v>
      </c>
      <c r="L42" s="114">
        <v>25.5</v>
      </c>
      <c r="M42" s="114">
        <v>25.5</v>
      </c>
      <c r="N42" s="117">
        <v>25.5</v>
      </c>
      <c r="O42" s="98"/>
      <c r="P42" s="6"/>
      <c r="R42" s="24"/>
      <c r="T42" s="34">
        <v>10</v>
      </c>
      <c r="U42" s="36">
        <f>SUM(30-U41)</f>
        <v>23</v>
      </c>
      <c r="V42" s="35">
        <f>SUM(T42/30*U42)</f>
        <v>7.6666666666666661</v>
      </c>
      <c r="W42"/>
    </row>
    <row r="43" spans="1:23" ht="14.25" customHeight="1" x14ac:dyDescent="0.2">
      <c r="A43" s="87" t="s">
        <v>28</v>
      </c>
      <c r="B43" s="89" t="s">
        <v>96</v>
      </c>
      <c r="C43" s="119"/>
      <c r="D43" s="112"/>
      <c r="E43" s="112"/>
      <c r="F43" s="112"/>
      <c r="G43" s="112"/>
      <c r="H43" s="112"/>
      <c r="I43" s="120"/>
      <c r="J43" s="119"/>
      <c r="K43" s="112"/>
      <c r="L43" s="112"/>
      <c r="M43" s="114">
        <v>25.5</v>
      </c>
      <c r="N43" s="117">
        <v>20.3064</v>
      </c>
      <c r="O43" s="99"/>
      <c r="P43" s="6"/>
      <c r="R43" s="3"/>
      <c r="T43" s="44">
        <v>0</v>
      </c>
      <c r="U43" s="36">
        <f>(30-U41-U42)</f>
        <v>0</v>
      </c>
      <c r="V43" s="35">
        <f>SUM(T43/30*U43)</f>
        <v>0</v>
      </c>
      <c r="W43"/>
    </row>
    <row r="44" spans="1:23" ht="14.25" customHeight="1" thickBot="1" x14ac:dyDescent="0.3">
      <c r="A44" s="87" t="s">
        <v>28</v>
      </c>
      <c r="B44" s="89" t="s">
        <v>68</v>
      </c>
      <c r="C44" s="116">
        <v>7</v>
      </c>
      <c r="D44" s="114">
        <v>7</v>
      </c>
      <c r="E44" s="114">
        <v>7</v>
      </c>
      <c r="F44" s="114">
        <v>7</v>
      </c>
      <c r="G44" s="114">
        <v>7</v>
      </c>
      <c r="H44" s="114">
        <v>7</v>
      </c>
      <c r="I44" s="115">
        <v>7</v>
      </c>
      <c r="J44" s="116">
        <v>4.5199999999999996</v>
      </c>
      <c r="K44" s="114">
        <v>0</v>
      </c>
      <c r="L44" s="114">
        <v>0</v>
      </c>
      <c r="M44" s="114">
        <v>0</v>
      </c>
      <c r="N44" s="117">
        <v>0</v>
      </c>
      <c r="O44" s="99"/>
      <c r="P44" s="6"/>
      <c r="R44" s="3"/>
      <c r="T44" s="37"/>
      <c r="U44" s="23"/>
      <c r="V44" s="38">
        <f>SUM(V41:V43)</f>
        <v>7.6666666666666661</v>
      </c>
      <c r="W44"/>
    </row>
    <row r="45" spans="1:23" ht="14.25" customHeight="1" thickBot="1" x14ac:dyDescent="0.25">
      <c r="A45" s="137" t="s">
        <v>29</v>
      </c>
      <c r="B45" s="89" t="s">
        <v>82</v>
      </c>
      <c r="C45" s="116">
        <v>5.61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5">
        <v>0</v>
      </c>
      <c r="J45" s="116">
        <v>12.8</v>
      </c>
      <c r="K45" s="114">
        <v>12.8</v>
      </c>
      <c r="L45" s="114">
        <v>12.8</v>
      </c>
      <c r="M45" s="114">
        <v>12.8</v>
      </c>
      <c r="N45" s="117">
        <v>12.8</v>
      </c>
      <c r="O45" s="99"/>
      <c r="P45" s="6"/>
      <c r="R45" s="3"/>
      <c r="V45" s="3"/>
      <c r="W45"/>
    </row>
    <row r="46" spans="1:23" ht="14.25" customHeight="1" thickBot="1" x14ac:dyDescent="0.3">
      <c r="A46" s="87" t="s">
        <v>28</v>
      </c>
      <c r="B46" s="89" t="s">
        <v>69</v>
      </c>
      <c r="C46" s="116">
        <v>8.69</v>
      </c>
      <c r="D46" s="114">
        <v>18.16</v>
      </c>
      <c r="E46" s="114">
        <v>19.5</v>
      </c>
      <c r="F46" s="114">
        <v>19.5</v>
      </c>
      <c r="G46" s="114">
        <v>19.5</v>
      </c>
      <c r="H46" s="114">
        <v>19.5</v>
      </c>
      <c r="I46" s="115">
        <v>19.5</v>
      </c>
      <c r="J46" s="116">
        <v>20.21</v>
      </c>
      <c r="K46" s="114">
        <v>21.5</v>
      </c>
      <c r="L46" s="114">
        <v>21.5</v>
      </c>
      <c r="M46" s="114">
        <v>21.5</v>
      </c>
      <c r="N46" s="117">
        <v>21.5</v>
      </c>
      <c r="O46" s="99"/>
      <c r="P46" s="6"/>
      <c r="R46" s="3"/>
      <c r="T46" s="28"/>
      <c r="U46" s="29" t="s">
        <v>47</v>
      </c>
      <c r="V46" s="45"/>
      <c r="W46"/>
    </row>
    <row r="47" spans="1:23" ht="14.25" customHeight="1" x14ac:dyDescent="0.2">
      <c r="A47" s="137" t="s">
        <v>29</v>
      </c>
      <c r="B47" s="89" t="s">
        <v>61</v>
      </c>
      <c r="C47" s="116">
        <v>8</v>
      </c>
      <c r="D47" s="114">
        <v>8</v>
      </c>
      <c r="E47" s="114">
        <v>8</v>
      </c>
      <c r="F47" s="114">
        <v>8</v>
      </c>
      <c r="G47" s="114">
        <v>8</v>
      </c>
      <c r="H47" s="114">
        <v>8</v>
      </c>
      <c r="I47" s="115">
        <v>8</v>
      </c>
      <c r="J47" s="119"/>
      <c r="K47" s="112"/>
      <c r="L47" s="112"/>
      <c r="M47" s="112"/>
      <c r="N47" s="118"/>
      <c r="O47" s="99"/>
      <c r="P47" s="6"/>
      <c r="R47" s="3"/>
      <c r="T47" s="31" t="s">
        <v>44</v>
      </c>
      <c r="U47" s="32" t="s">
        <v>45</v>
      </c>
      <c r="V47" s="33" t="s">
        <v>56</v>
      </c>
      <c r="W47"/>
    </row>
    <row r="48" spans="1:23" ht="14.25" customHeight="1" x14ac:dyDescent="0.25">
      <c r="A48" s="87" t="s">
        <v>28</v>
      </c>
      <c r="B48" s="89" t="s">
        <v>61</v>
      </c>
      <c r="C48" s="119"/>
      <c r="D48" s="112"/>
      <c r="E48" s="112"/>
      <c r="F48" s="112"/>
      <c r="G48" s="112"/>
      <c r="H48" s="112"/>
      <c r="I48" s="120"/>
      <c r="J48" s="116">
        <v>13.145</v>
      </c>
      <c r="K48" s="114">
        <v>22.5</v>
      </c>
      <c r="L48" s="114">
        <v>22.5</v>
      </c>
      <c r="M48" s="114">
        <v>22.5</v>
      </c>
      <c r="N48" s="117">
        <v>22.5</v>
      </c>
      <c r="O48" s="99"/>
      <c r="P48" s="6"/>
      <c r="Q48" s="2"/>
      <c r="R48" s="3"/>
      <c r="T48" s="34">
        <v>7</v>
      </c>
      <c r="U48" s="18">
        <v>20</v>
      </c>
      <c r="V48" s="35">
        <f>SUM(T48/28*U48)</f>
        <v>5</v>
      </c>
      <c r="W48"/>
    </row>
    <row r="49" spans="1:23" ht="14.25" customHeight="1" x14ac:dyDescent="0.2">
      <c r="A49" s="87" t="s">
        <v>28</v>
      </c>
      <c r="B49" s="89" t="s">
        <v>39</v>
      </c>
      <c r="C49" s="116">
        <v>25.5</v>
      </c>
      <c r="D49" s="114">
        <v>25.5</v>
      </c>
      <c r="E49" s="114">
        <v>25.5</v>
      </c>
      <c r="F49" s="114">
        <v>25.5</v>
      </c>
      <c r="G49" s="114">
        <v>25.5</v>
      </c>
      <c r="H49" s="114">
        <v>25.5</v>
      </c>
      <c r="I49" s="115">
        <v>25.5</v>
      </c>
      <c r="J49" s="116">
        <v>25.5</v>
      </c>
      <c r="K49" s="114">
        <v>25.5</v>
      </c>
      <c r="L49" s="114">
        <v>25.5</v>
      </c>
      <c r="M49" s="114">
        <v>25.5</v>
      </c>
      <c r="N49" s="117">
        <v>25.5</v>
      </c>
      <c r="O49" s="99"/>
      <c r="P49" s="6"/>
      <c r="R49" s="3"/>
      <c r="T49" s="34">
        <v>0</v>
      </c>
      <c r="U49" s="36">
        <f>SUM(28-U48)</f>
        <v>8</v>
      </c>
      <c r="V49" s="35">
        <f>SUM(T49/28*U49)</f>
        <v>0</v>
      </c>
      <c r="W49"/>
    </row>
    <row r="50" spans="1:23" ht="14.25" customHeight="1" x14ac:dyDescent="0.2">
      <c r="A50" s="87" t="s">
        <v>28</v>
      </c>
      <c r="B50" s="89" t="s">
        <v>88</v>
      </c>
      <c r="C50" s="116">
        <v>0.52</v>
      </c>
      <c r="D50" s="114">
        <v>8</v>
      </c>
      <c r="E50" s="114">
        <v>8</v>
      </c>
      <c r="F50" s="114">
        <v>8</v>
      </c>
      <c r="G50" s="114">
        <v>8</v>
      </c>
      <c r="H50" s="114">
        <v>8</v>
      </c>
      <c r="I50" s="115">
        <v>8</v>
      </c>
      <c r="J50" s="116">
        <v>10.48</v>
      </c>
      <c r="K50" s="114">
        <v>15</v>
      </c>
      <c r="L50" s="114">
        <v>15</v>
      </c>
      <c r="M50" s="114">
        <v>15</v>
      </c>
      <c r="N50" s="117">
        <v>15</v>
      </c>
      <c r="O50" s="99"/>
      <c r="P50" s="6"/>
      <c r="R50" s="3"/>
      <c r="T50" s="34"/>
      <c r="U50" s="36">
        <f>(28-U48-U49)</f>
        <v>0</v>
      </c>
      <c r="V50" s="35">
        <f>SUM(T50/28*U50)</f>
        <v>0</v>
      </c>
      <c r="W50"/>
    </row>
    <row r="51" spans="1:23" ht="14.25" customHeight="1" thickBot="1" x14ac:dyDescent="0.3">
      <c r="A51" s="137" t="s">
        <v>29</v>
      </c>
      <c r="B51" s="89" t="s">
        <v>83</v>
      </c>
      <c r="C51" s="116">
        <v>4</v>
      </c>
      <c r="D51" s="114">
        <v>1.66</v>
      </c>
      <c r="E51" s="114">
        <v>0</v>
      </c>
      <c r="F51" s="114">
        <v>0</v>
      </c>
      <c r="G51" s="114">
        <v>0</v>
      </c>
      <c r="H51" s="114">
        <v>0</v>
      </c>
      <c r="I51" s="115">
        <v>0</v>
      </c>
      <c r="J51" s="116">
        <v>0</v>
      </c>
      <c r="K51" s="114">
        <v>0</v>
      </c>
      <c r="L51" s="114">
        <v>0</v>
      </c>
      <c r="M51" s="114">
        <v>0</v>
      </c>
      <c r="N51" s="117">
        <v>0</v>
      </c>
      <c r="O51" s="99"/>
      <c r="R51" s="3"/>
      <c r="T51" s="37"/>
      <c r="U51" s="23"/>
      <c r="V51" s="38">
        <f>SUM(V48:V50)</f>
        <v>5</v>
      </c>
      <c r="W51"/>
    </row>
    <row r="52" spans="1:23" ht="14.25" customHeight="1" thickBot="1" x14ac:dyDescent="0.25">
      <c r="A52" s="87" t="s">
        <v>28</v>
      </c>
      <c r="B52" s="89" t="s">
        <v>71</v>
      </c>
      <c r="C52" s="116">
        <v>25.5</v>
      </c>
      <c r="D52" s="114">
        <v>25.5</v>
      </c>
      <c r="E52" s="114">
        <v>25.5</v>
      </c>
      <c r="F52" s="114">
        <v>25.5</v>
      </c>
      <c r="G52" s="114">
        <v>25.5</v>
      </c>
      <c r="H52" s="114">
        <v>25.5</v>
      </c>
      <c r="I52" s="115">
        <v>25.5</v>
      </c>
      <c r="J52" s="116">
        <v>25.5</v>
      </c>
      <c r="K52" s="114">
        <v>25.5</v>
      </c>
      <c r="L52" s="114">
        <v>25.5</v>
      </c>
      <c r="M52" s="114">
        <v>25.5</v>
      </c>
      <c r="N52" s="117">
        <v>25.5</v>
      </c>
      <c r="O52" s="98"/>
      <c r="P52" s="6"/>
      <c r="R52" s="3"/>
      <c r="W52"/>
    </row>
    <row r="53" spans="1:23" ht="14.25" customHeight="1" thickBot="1" x14ac:dyDescent="0.3">
      <c r="A53" s="87" t="s">
        <v>28</v>
      </c>
      <c r="B53" s="89" t="s">
        <v>59</v>
      </c>
      <c r="C53" s="116">
        <v>8</v>
      </c>
      <c r="D53" s="114">
        <v>8</v>
      </c>
      <c r="E53" s="114">
        <v>8</v>
      </c>
      <c r="F53" s="114">
        <v>8</v>
      </c>
      <c r="G53" s="114">
        <v>12</v>
      </c>
      <c r="H53" s="114">
        <v>12</v>
      </c>
      <c r="I53" s="115">
        <v>12</v>
      </c>
      <c r="J53" s="119"/>
      <c r="K53" s="112"/>
      <c r="L53" s="112"/>
      <c r="M53" s="112"/>
      <c r="N53" s="118"/>
      <c r="P53" s="6"/>
      <c r="R53" s="3"/>
      <c r="T53" s="28"/>
      <c r="U53" s="29" t="s">
        <v>57</v>
      </c>
      <c r="V53" s="45"/>
      <c r="W53"/>
    </row>
    <row r="54" spans="1:23" ht="15" customHeight="1" x14ac:dyDescent="0.2">
      <c r="A54" s="87" t="s">
        <v>28</v>
      </c>
      <c r="B54" s="89" t="s">
        <v>40</v>
      </c>
      <c r="C54" s="116">
        <v>20</v>
      </c>
      <c r="D54" s="114">
        <v>20</v>
      </c>
      <c r="E54" s="114">
        <v>20</v>
      </c>
      <c r="F54" s="114">
        <v>20</v>
      </c>
      <c r="G54" s="114">
        <v>20</v>
      </c>
      <c r="H54" s="114">
        <v>20</v>
      </c>
      <c r="I54" s="115">
        <v>20</v>
      </c>
      <c r="J54" s="116">
        <v>19.29</v>
      </c>
      <c r="K54" s="114">
        <v>18</v>
      </c>
      <c r="L54" s="114">
        <v>18</v>
      </c>
      <c r="M54" s="114">
        <v>18</v>
      </c>
      <c r="N54" s="117">
        <v>18</v>
      </c>
      <c r="O54" s="98"/>
      <c r="P54" s="6"/>
      <c r="R54" s="3"/>
      <c r="T54" s="31" t="s">
        <v>44</v>
      </c>
      <c r="U54" s="32" t="s">
        <v>45</v>
      </c>
      <c r="V54" s="33" t="s">
        <v>56</v>
      </c>
      <c r="W54"/>
    </row>
    <row r="55" spans="1:23" ht="15" customHeight="1" x14ac:dyDescent="0.25">
      <c r="A55" s="137" t="s">
        <v>29</v>
      </c>
      <c r="B55" s="89" t="s">
        <v>72</v>
      </c>
      <c r="C55" s="155">
        <v>17.5</v>
      </c>
      <c r="D55" s="114">
        <v>17.5</v>
      </c>
      <c r="E55" s="114">
        <v>17.5</v>
      </c>
      <c r="F55" s="114">
        <v>17.5</v>
      </c>
      <c r="G55" s="112"/>
      <c r="H55" s="112"/>
      <c r="I55" s="120"/>
      <c r="J55" s="119"/>
      <c r="K55" s="112"/>
      <c r="L55" s="112"/>
      <c r="M55" s="112"/>
      <c r="N55" s="118"/>
      <c r="O55" s="98"/>
      <c r="P55" s="6"/>
      <c r="R55" s="24"/>
      <c r="T55" s="34">
        <v>25.5</v>
      </c>
      <c r="U55" s="18">
        <v>5</v>
      </c>
      <c r="V55" s="35">
        <f>SUM(T55/29*U55)</f>
        <v>4.3965517241379306</v>
      </c>
      <c r="W55"/>
    </row>
    <row r="56" spans="1:23" ht="15" customHeight="1" x14ac:dyDescent="0.2">
      <c r="A56" s="137" t="s">
        <v>29</v>
      </c>
      <c r="B56" s="89" t="s">
        <v>66</v>
      </c>
      <c r="C56" s="116">
        <v>3</v>
      </c>
      <c r="D56" s="114">
        <v>3</v>
      </c>
      <c r="E56" s="114">
        <v>3</v>
      </c>
      <c r="F56" s="114">
        <v>3</v>
      </c>
      <c r="G56" s="114">
        <v>3</v>
      </c>
      <c r="H56" s="114">
        <v>3</v>
      </c>
      <c r="I56" s="115">
        <v>3</v>
      </c>
      <c r="J56" s="119"/>
      <c r="K56" s="112"/>
      <c r="L56" s="112"/>
      <c r="M56" s="112"/>
      <c r="N56" s="118"/>
      <c r="O56" s="99"/>
      <c r="P56" s="6"/>
      <c r="T56" s="34">
        <v>0</v>
      </c>
      <c r="U56" s="36">
        <f>SUM(29-U55)</f>
        <v>24</v>
      </c>
      <c r="V56" s="35">
        <f>SUM(T56/29*U56)</f>
        <v>0</v>
      </c>
      <c r="W56"/>
    </row>
    <row r="57" spans="1:23" x14ac:dyDescent="0.2">
      <c r="A57" s="87" t="s">
        <v>28</v>
      </c>
      <c r="B57" s="89" t="s">
        <v>66</v>
      </c>
      <c r="C57" s="119"/>
      <c r="D57" s="112"/>
      <c r="E57" s="112"/>
      <c r="F57" s="151"/>
      <c r="G57" s="112"/>
      <c r="H57" s="112"/>
      <c r="I57" s="120"/>
      <c r="J57" s="116">
        <v>18.5</v>
      </c>
      <c r="K57" s="114">
        <v>18.5</v>
      </c>
      <c r="L57" s="114">
        <v>18.5</v>
      </c>
      <c r="M57" s="114">
        <v>18.5</v>
      </c>
      <c r="N57" s="117">
        <v>18.5</v>
      </c>
      <c r="O57" s="99"/>
      <c r="P57" s="6"/>
      <c r="T57" s="34"/>
      <c r="U57" s="36">
        <f>(29-U55-U56)</f>
        <v>0</v>
      </c>
      <c r="V57" s="35">
        <f>SUM(T57/29*U57)</f>
        <v>0</v>
      </c>
    </row>
    <row r="58" spans="1:23" ht="15.75" customHeight="1" thickBot="1" x14ac:dyDescent="0.3">
      <c r="A58" s="87" t="s">
        <v>28</v>
      </c>
      <c r="B58" s="89" t="s">
        <v>73</v>
      </c>
      <c r="C58" s="116">
        <v>7</v>
      </c>
      <c r="D58" s="114">
        <v>7</v>
      </c>
      <c r="E58" s="114">
        <v>7</v>
      </c>
      <c r="F58" s="114">
        <v>7</v>
      </c>
      <c r="G58" s="114">
        <v>7</v>
      </c>
      <c r="H58" s="114">
        <v>7</v>
      </c>
      <c r="I58" s="115">
        <v>7</v>
      </c>
      <c r="J58" s="119"/>
      <c r="K58" s="112"/>
      <c r="L58" s="112"/>
      <c r="M58" s="112"/>
      <c r="N58" s="118"/>
      <c r="O58" s="99"/>
      <c r="P58" s="6"/>
      <c r="T58" s="37"/>
      <c r="U58" s="23"/>
      <c r="V58" s="38">
        <f>SUM(V55:V57)</f>
        <v>4.3965517241379306</v>
      </c>
    </row>
    <row r="59" spans="1:23" ht="15.75" customHeight="1" x14ac:dyDescent="0.25">
      <c r="A59" s="87" t="s">
        <v>28</v>
      </c>
      <c r="B59" s="89" t="s">
        <v>75</v>
      </c>
      <c r="C59" s="116">
        <v>5.84</v>
      </c>
      <c r="D59" s="114">
        <v>5.5</v>
      </c>
      <c r="E59" s="114">
        <v>5.5</v>
      </c>
      <c r="F59" s="114">
        <v>5.5</v>
      </c>
      <c r="G59" s="114">
        <v>5.5</v>
      </c>
      <c r="H59" s="114">
        <v>3.85</v>
      </c>
      <c r="I59" s="120"/>
      <c r="J59" s="119"/>
      <c r="K59" s="112"/>
      <c r="L59" s="112"/>
      <c r="M59" s="112"/>
      <c r="N59" s="118"/>
      <c r="O59" s="99"/>
      <c r="P59" s="6"/>
      <c r="V59" s="24"/>
    </row>
    <row r="60" spans="1:23" ht="14.25" customHeight="1" x14ac:dyDescent="0.25">
      <c r="A60" s="87" t="s">
        <v>28</v>
      </c>
      <c r="B60" s="89" t="s">
        <v>75</v>
      </c>
      <c r="C60" s="119"/>
      <c r="D60" s="112"/>
      <c r="E60" s="112"/>
      <c r="F60" s="112"/>
      <c r="G60" s="112"/>
      <c r="H60" s="112"/>
      <c r="I60" s="120"/>
      <c r="J60" s="116">
        <v>2.3199999999999998</v>
      </c>
      <c r="K60" s="114">
        <v>12</v>
      </c>
      <c r="L60" s="114">
        <v>12</v>
      </c>
      <c r="M60" s="114">
        <v>12</v>
      </c>
      <c r="N60" s="117">
        <v>12</v>
      </c>
      <c r="O60" s="99"/>
      <c r="P60" s="6"/>
      <c r="V60" s="24"/>
    </row>
    <row r="61" spans="1:23" x14ac:dyDescent="0.2">
      <c r="A61" s="87" t="s">
        <v>28</v>
      </c>
      <c r="B61" s="89" t="s">
        <v>98</v>
      </c>
      <c r="C61" s="119"/>
      <c r="D61" s="112"/>
      <c r="E61" s="112"/>
      <c r="F61" s="112"/>
      <c r="G61" s="112"/>
      <c r="H61" s="112"/>
      <c r="I61" s="120"/>
      <c r="J61" s="119"/>
      <c r="K61" s="112"/>
      <c r="L61" s="112"/>
      <c r="M61" s="114">
        <v>7.67</v>
      </c>
      <c r="N61" s="117">
        <v>5.48</v>
      </c>
      <c r="O61" s="99"/>
      <c r="P61" s="6"/>
    </row>
    <row r="62" spans="1:23" ht="14.25" customHeight="1" x14ac:dyDescent="0.2">
      <c r="A62" s="87" t="s">
        <v>28</v>
      </c>
      <c r="B62" s="89" t="s">
        <v>53</v>
      </c>
      <c r="C62" s="116">
        <v>18</v>
      </c>
      <c r="D62" s="114">
        <v>18</v>
      </c>
      <c r="E62" s="114">
        <v>18</v>
      </c>
      <c r="F62" s="114">
        <v>18</v>
      </c>
      <c r="G62" s="114">
        <v>18</v>
      </c>
      <c r="H62" s="114">
        <v>18</v>
      </c>
      <c r="I62" s="115">
        <v>18</v>
      </c>
      <c r="J62" s="116">
        <v>18.71</v>
      </c>
      <c r="K62" s="114">
        <v>20</v>
      </c>
      <c r="L62" s="114">
        <v>20</v>
      </c>
      <c r="M62" s="114">
        <v>20</v>
      </c>
      <c r="N62" s="117">
        <v>20</v>
      </c>
      <c r="O62" s="99"/>
      <c r="P62" s="6"/>
    </row>
    <row r="63" spans="1:23" ht="14.25" customHeight="1" x14ac:dyDescent="0.2">
      <c r="A63" s="87" t="s">
        <v>28</v>
      </c>
      <c r="B63" s="89" t="s">
        <v>89</v>
      </c>
      <c r="C63" s="119"/>
      <c r="D63" s="112"/>
      <c r="E63" s="112"/>
      <c r="F63" s="112"/>
      <c r="G63" s="114">
        <v>10.5</v>
      </c>
      <c r="H63" s="114">
        <v>10.5</v>
      </c>
      <c r="I63" s="115">
        <v>1.35</v>
      </c>
      <c r="J63" s="119"/>
      <c r="K63" s="112"/>
      <c r="L63" s="112"/>
      <c r="M63" s="112"/>
      <c r="N63" s="118"/>
      <c r="O63" s="99"/>
      <c r="P63" s="6"/>
    </row>
    <row r="64" spans="1:23" ht="14.25" customHeight="1" x14ac:dyDescent="0.2">
      <c r="A64" s="87" t="s">
        <v>28</v>
      </c>
      <c r="B64" s="89" t="s">
        <v>90</v>
      </c>
      <c r="C64" s="119"/>
      <c r="D64" s="114">
        <v>13.24</v>
      </c>
      <c r="E64" s="114">
        <v>16</v>
      </c>
      <c r="F64" s="114">
        <v>2.67</v>
      </c>
      <c r="G64" s="112"/>
      <c r="H64" s="112"/>
      <c r="I64" s="120"/>
      <c r="J64" s="119"/>
      <c r="K64" s="112"/>
      <c r="L64" s="112"/>
      <c r="M64" s="112"/>
      <c r="N64" s="118"/>
      <c r="O64" s="99"/>
      <c r="P64" s="6"/>
    </row>
    <row r="65" spans="1:16" ht="14.25" customHeight="1" x14ac:dyDescent="0.2">
      <c r="A65" s="87" t="s">
        <v>28</v>
      </c>
      <c r="B65" s="89" t="s">
        <v>90</v>
      </c>
      <c r="C65" s="119"/>
      <c r="D65" s="112"/>
      <c r="E65" s="112"/>
      <c r="F65" s="114">
        <v>2.17</v>
      </c>
      <c r="G65" s="114">
        <v>13.65</v>
      </c>
      <c r="H65" s="114">
        <v>12.47</v>
      </c>
      <c r="I65" s="120"/>
      <c r="J65" s="119"/>
      <c r="K65" s="112"/>
      <c r="L65" s="151"/>
      <c r="M65" s="112"/>
      <c r="N65" s="118"/>
      <c r="O65" s="99"/>
      <c r="P65" s="6"/>
    </row>
    <row r="66" spans="1:16" ht="14.25" customHeight="1" thickBot="1" x14ac:dyDescent="0.25">
      <c r="A66" s="141"/>
      <c r="B66" s="95"/>
      <c r="C66" s="159"/>
      <c r="D66" s="160"/>
      <c r="E66" s="160"/>
      <c r="F66" s="160"/>
      <c r="G66" s="160"/>
      <c r="H66" s="160"/>
      <c r="I66" s="161"/>
      <c r="J66" s="159"/>
      <c r="K66" s="160"/>
      <c r="L66" s="160"/>
      <c r="M66" s="160"/>
      <c r="N66" s="162"/>
      <c r="O66" s="98"/>
      <c r="P66" s="6"/>
    </row>
    <row r="67" spans="1:16" ht="14.25" customHeight="1" thickBot="1" x14ac:dyDescent="0.25">
      <c r="A67" s="169"/>
      <c r="B67" s="60" t="s">
        <v>6</v>
      </c>
      <c r="C67" s="150">
        <f>SUM(C9:C66)</f>
        <v>725.61000000000013</v>
      </c>
      <c r="D67" s="121">
        <f>SUM(D9:D66)</f>
        <v>747.45999999999992</v>
      </c>
      <c r="E67" s="121">
        <f t="shared" ref="E67:N67" si="0">SUM(E9:E66)</f>
        <v>745.5</v>
      </c>
      <c r="F67" s="121">
        <f t="shared" si="0"/>
        <v>752.66999999999985</v>
      </c>
      <c r="G67" s="121">
        <f t="shared" si="0"/>
        <v>747.17</v>
      </c>
      <c r="H67" s="121">
        <f t="shared" si="0"/>
        <v>750.25000000000011</v>
      </c>
      <c r="I67" s="122">
        <f t="shared" si="0"/>
        <v>738.35</v>
      </c>
      <c r="J67" s="148">
        <f t="shared" si="0"/>
        <v>765.12330000000009</v>
      </c>
      <c r="K67" s="121">
        <f t="shared" si="0"/>
        <v>762.3</v>
      </c>
      <c r="L67" s="121">
        <f t="shared" si="0"/>
        <v>727.28</v>
      </c>
      <c r="M67" s="121">
        <f t="shared" si="0"/>
        <v>776.46999999999991</v>
      </c>
      <c r="N67" s="122">
        <f t="shared" si="0"/>
        <v>779.47239999999999</v>
      </c>
      <c r="O67" s="98"/>
      <c r="P67" s="6"/>
    </row>
    <row r="68" spans="1:16" ht="14.25" customHeight="1" x14ac:dyDescent="0.2">
      <c r="A68" s="143"/>
      <c r="B68" s="56"/>
      <c r="C68" s="70"/>
      <c r="D68" s="3"/>
      <c r="E68" s="3"/>
      <c r="F68" s="3"/>
      <c r="G68" s="3"/>
      <c r="H68" s="3"/>
      <c r="I68" s="72"/>
      <c r="J68" s="3"/>
      <c r="K68" s="3"/>
      <c r="L68" s="3"/>
      <c r="M68" s="3"/>
      <c r="N68" s="72"/>
      <c r="O68" s="98"/>
      <c r="P68" s="6"/>
    </row>
    <row r="69" spans="1:16" ht="14.25" customHeight="1" x14ac:dyDescent="0.25">
      <c r="A69" s="141"/>
      <c r="B69" s="61" t="s">
        <v>5</v>
      </c>
      <c r="C69" s="73"/>
      <c r="D69" s="24"/>
      <c r="E69" s="24"/>
      <c r="F69" s="24">
        <f>SUM(C67:I67)/7/25.5</f>
        <v>29.170924369747901</v>
      </c>
      <c r="G69" s="24"/>
      <c r="H69" s="24"/>
      <c r="I69" s="74"/>
      <c r="J69" s="24"/>
      <c r="K69" s="24"/>
      <c r="L69" s="24">
        <f>SUM(J67:N67)/5/25.5</f>
        <v>29.887417254901962</v>
      </c>
      <c r="M69" s="24"/>
      <c r="N69" s="74"/>
      <c r="O69" s="98"/>
      <c r="P69" s="6"/>
    </row>
    <row r="70" spans="1:16" ht="14.25" customHeight="1" thickBot="1" x14ac:dyDescent="0.3">
      <c r="A70" s="141"/>
      <c r="B70" s="61"/>
      <c r="C70" s="73"/>
      <c r="D70" s="24"/>
      <c r="E70" s="24"/>
      <c r="F70" s="24"/>
      <c r="G70" s="24"/>
      <c r="H70" s="24"/>
      <c r="I70" s="74"/>
      <c r="J70" s="24"/>
      <c r="K70" s="24"/>
      <c r="L70" s="24"/>
      <c r="M70" s="24"/>
      <c r="N70" s="74"/>
      <c r="O70" s="98"/>
      <c r="P70" s="6"/>
    </row>
    <row r="71" spans="1:16" ht="14.25" customHeight="1" x14ac:dyDescent="0.25">
      <c r="A71" s="141"/>
      <c r="B71" s="94" t="s">
        <v>13</v>
      </c>
      <c r="C71" s="75"/>
      <c r="D71" s="75"/>
      <c r="E71" s="75"/>
      <c r="F71" s="75"/>
      <c r="G71" s="75"/>
      <c r="H71" s="75"/>
      <c r="I71" s="78"/>
      <c r="J71" s="91"/>
      <c r="K71" s="75"/>
      <c r="L71" s="75"/>
      <c r="M71" s="75"/>
      <c r="N71" s="78"/>
      <c r="O71" s="98"/>
      <c r="P71" s="6"/>
    </row>
    <row r="72" spans="1:16" x14ac:dyDescent="0.2">
      <c r="A72" s="141"/>
      <c r="B72" s="95"/>
      <c r="C72" s="76"/>
      <c r="D72" s="76"/>
      <c r="E72" s="76"/>
      <c r="F72" s="76"/>
      <c r="G72" s="76"/>
      <c r="H72" s="76"/>
      <c r="I72" s="69"/>
      <c r="J72" s="92"/>
      <c r="K72" s="76"/>
      <c r="L72" s="76"/>
      <c r="M72" s="76"/>
      <c r="N72" s="69"/>
      <c r="O72" s="98"/>
      <c r="P72" s="6"/>
    </row>
    <row r="73" spans="1:16" ht="15" thickBot="1" x14ac:dyDescent="0.25">
      <c r="A73" s="141"/>
      <c r="B73" s="80"/>
      <c r="C73" s="77"/>
      <c r="D73" s="77"/>
      <c r="E73" s="77"/>
      <c r="F73" s="77"/>
      <c r="G73" s="77"/>
      <c r="H73" s="77"/>
      <c r="I73" s="79"/>
      <c r="J73" s="93"/>
      <c r="K73" s="77"/>
      <c r="L73" s="77"/>
      <c r="M73" s="77"/>
      <c r="N73" s="79"/>
      <c r="O73" s="98"/>
      <c r="P73" s="6"/>
    </row>
    <row r="74" spans="1:16" ht="27.75" customHeight="1" x14ac:dyDescent="0.2">
      <c r="A74" s="141"/>
      <c r="B74" s="90" t="s">
        <v>7</v>
      </c>
      <c r="C74" s="75">
        <f t="shared" ref="C74:N74" si="1">SUM(C71:C73)</f>
        <v>0</v>
      </c>
      <c r="D74" s="75">
        <f t="shared" si="1"/>
        <v>0</v>
      </c>
      <c r="E74" s="75">
        <f t="shared" si="1"/>
        <v>0</v>
      </c>
      <c r="F74" s="75">
        <f t="shared" si="1"/>
        <v>0</v>
      </c>
      <c r="G74" s="75">
        <f t="shared" si="1"/>
        <v>0</v>
      </c>
      <c r="H74" s="75">
        <f t="shared" si="1"/>
        <v>0</v>
      </c>
      <c r="I74" s="78">
        <f t="shared" si="1"/>
        <v>0</v>
      </c>
      <c r="J74" s="91">
        <f t="shared" si="1"/>
        <v>0</v>
      </c>
      <c r="K74" s="75">
        <f t="shared" si="1"/>
        <v>0</v>
      </c>
      <c r="L74" s="75">
        <f t="shared" si="1"/>
        <v>0</v>
      </c>
      <c r="M74" s="75">
        <f t="shared" si="1"/>
        <v>0</v>
      </c>
      <c r="N74" s="78">
        <f t="shared" si="1"/>
        <v>0</v>
      </c>
      <c r="O74" s="98"/>
      <c r="P74" s="6"/>
    </row>
    <row r="75" spans="1:16" ht="14.25" customHeight="1" x14ac:dyDescent="0.25">
      <c r="A75" s="141"/>
      <c r="B75" s="61" t="s">
        <v>5</v>
      </c>
      <c r="C75" s="70"/>
      <c r="D75" s="3"/>
      <c r="E75" s="3"/>
      <c r="F75" s="3"/>
      <c r="G75" s="3"/>
      <c r="H75" s="3"/>
      <c r="I75" s="72"/>
      <c r="J75" s="3"/>
      <c r="K75" s="3"/>
      <c r="L75" s="3"/>
      <c r="M75" s="3"/>
      <c r="N75" s="72"/>
      <c r="O75" s="98"/>
      <c r="P75" s="6"/>
    </row>
    <row r="76" spans="1:16" ht="14.25" customHeight="1" x14ac:dyDescent="0.25">
      <c r="A76" s="141"/>
      <c r="B76" s="61" t="s">
        <v>13</v>
      </c>
      <c r="C76" s="70"/>
      <c r="D76" s="3"/>
      <c r="E76" s="3"/>
      <c r="F76" s="24">
        <f>SUM(C74:I74)/7/110.87</f>
        <v>0</v>
      </c>
      <c r="G76" s="3"/>
      <c r="H76" s="3"/>
      <c r="I76" s="72"/>
      <c r="J76" s="3"/>
      <c r="K76" s="3"/>
      <c r="L76" s="24">
        <f>SUM(J74:N74)/5/110.87</f>
        <v>0</v>
      </c>
      <c r="M76" s="3"/>
      <c r="N76" s="72"/>
      <c r="O76" s="98"/>
      <c r="P76" s="6"/>
    </row>
    <row r="77" spans="1:16" ht="14.25" customHeight="1" thickBot="1" x14ac:dyDescent="0.3">
      <c r="A77" s="142"/>
      <c r="B77" s="61"/>
      <c r="C77" s="12"/>
      <c r="D77" s="5"/>
      <c r="E77" s="5"/>
      <c r="F77" s="13"/>
      <c r="G77" s="5"/>
      <c r="H77" s="5"/>
      <c r="I77" s="64"/>
      <c r="J77" s="5"/>
      <c r="K77" s="5"/>
      <c r="L77" s="13"/>
      <c r="M77" s="5"/>
      <c r="N77" s="64"/>
      <c r="O77" s="98"/>
      <c r="P77" s="6"/>
    </row>
    <row r="78" spans="1:16" ht="14.25" customHeight="1" x14ac:dyDescent="0.25">
      <c r="A78" s="143"/>
      <c r="B78" s="163" t="s">
        <v>8</v>
      </c>
      <c r="C78" s="59"/>
      <c r="D78" s="46"/>
      <c r="E78" s="46"/>
      <c r="F78" s="46"/>
      <c r="G78" s="46"/>
      <c r="H78" s="46"/>
      <c r="I78" s="58"/>
      <c r="J78" s="59"/>
      <c r="K78" s="46"/>
      <c r="L78" s="46"/>
      <c r="M78" s="46"/>
      <c r="N78" s="47"/>
      <c r="O78" s="98"/>
      <c r="P78" s="6"/>
    </row>
    <row r="79" spans="1:16" ht="14.25" customHeight="1" x14ac:dyDescent="0.2">
      <c r="A79" s="141"/>
      <c r="B79" s="147" t="s">
        <v>86</v>
      </c>
      <c r="C79" s="127">
        <v>0</v>
      </c>
      <c r="D79" s="107">
        <v>0</v>
      </c>
      <c r="E79" s="107">
        <v>0</v>
      </c>
      <c r="F79" s="107">
        <v>0</v>
      </c>
      <c r="G79" s="107">
        <v>0</v>
      </c>
      <c r="H79" s="107">
        <v>0</v>
      </c>
      <c r="I79" s="124">
        <v>0</v>
      </c>
      <c r="J79" s="127">
        <v>0</v>
      </c>
      <c r="K79" s="107">
        <v>0</v>
      </c>
      <c r="L79" s="107">
        <v>0</v>
      </c>
      <c r="M79" s="107">
        <v>9</v>
      </c>
      <c r="N79" s="123">
        <v>0</v>
      </c>
      <c r="O79" s="98"/>
      <c r="P79" s="6"/>
    </row>
    <row r="80" spans="1:16" ht="14.25" customHeight="1" x14ac:dyDescent="0.2">
      <c r="A80" s="141"/>
      <c r="B80" s="147" t="s">
        <v>14</v>
      </c>
      <c r="C80" s="127">
        <v>10</v>
      </c>
      <c r="D80" s="107">
        <v>6</v>
      </c>
      <c r="E80" s="107">
        <v>6</v>
      </c>
      <c r="F80" s="107">
        <v>8</v>
      </c>
      <c r="G80" s="107">
        <v>4</v>
      </c>
      <c r="H80" s="107">
        <v>8</v>
      </c>
      <c r="I80" s="124">
        <v>0</v>
      </c>
      <c r="J80" s="125">
        <v>0</v>
      </c>
      <c r="K80" s="126">
        <v>7</v>
      </c>
      <c r="L80" s="126">
        <v>2</v>
      </c>
      <c r="M80" s="107">
        <v>9</v>
      </c>
      <c r="N80" s="123">
        <v>5</v>
      </c>
      <c r="O80" s="98"/>
      <c r="P80" s="6"/>
    </row>
    <row r="81" spans="1:16" ht="14.25" customHeight="1" x14ac:dyDescent="0.2">
      <c r="A81" s="141"/>
      <c r="B81" s="147" t="s">
        <v>62</v>
      </c>
      <c r="C81" s="127">
        <v>10</v>
      </c>
      <c r="D81" s="107">
        <v>0</v>
      </c>
      <c r="E81" s="107">
        <v>0</v>
      </c>
      <c r="F81" s="107">
        <v>0</v>
      </c>
      <c r="G81" s="107">
        <v>0</v>
      </c>
      <c r="H81" s="107">
        <v>5</v>
      </c>
      <c r="I81" s="124">
        <v>0</v>
      </c>
      <c r="J81" s="127">
        <v>0</v>
      </c>
      <c r="K81" s="107">
        <v>5</v>
      </c>
      <c r="L81" s="107">
        <v>4</v>
      </c>
      <c r="M81" s="107">
        <v>4</v>
      </c>
      <c r="N81" s="123">
        <v>4</v>
      </c>
      <c r="O81" s="98"/>
      <c r="P81" s="6"/>
    </row>
    <row r="82" spans="1:16" ht="14.25" customHeight="1" x14ac:dyDescent="0.2">
      <c r="A82" s="141"/>
      <c r="B82" s="147" t="s">
        <v>20</v>
      </c>
      <c r="C82" s="127">
        <v>9</v>
      </c>
      <c r="D82" s="107">
        <v>8</v>
      </c>
      <c r="E82" s="107">
        <v>7</v>
      </c>
      <c r="F82" s="107">
        <v>7</v>
      </c>
      <c r="G82" s="107">
        <v>4</v>
      </c>
      <c r="H82" s="107">
        <v>12</v>
      </c>
      <c r="I82" s="124">
        <v>2</v>
      </c>
      <c r="J82" s="125">
        <v>4</v>
      </c>
      <c r="K82" s="126">
        <v>6</v>
      </c>
      <c r="L82" s="126">
        <v>5</v>
      </c>
      <c r="M82" s="107">
        <v>5</v>
      </c>
      <c r="N82" s="123">
        <v>7</v>
      </c>
      <c r="O82" s="98"/>
      <c r="P82" s="6"/>
    </row>
    <row r="83" spans="1:16" ht="14.25" customHeight="1" x14ac:dyDescent="0.2">
      <c r="A83" s="141"/>
      <c r="B83" s="147" t="s">
        <v>67</v>
      </c>
      <c r="C83" s="127">
        <v>3</v>
      </c>
      <c r="D83" s="107">
        <v>2</v>
      </c>
      <c r="E83" s="107">
        <v>5</v>
      </c>
      <c r="F83" s="107">
        <v>0</v>
      </c>
      <c r="G83" s="107">
        <v>1</v>
      </c>
      <c r="H83" s="107">
        <v>2</v>
      </c>
      <c r="I83" s="124">
        <v>2</v>
      </c>
      <c r="J83" s="127">
        <v>0</v>
      </c>
      <c r="K83" s="107">
        <v>0</v>
      </c>
      <c r="L83" s="107">
        <v>0</v>
      </c>
      <c r="M83" s="107">
        <v>0</v>
      </c>
      <c r="N83" s="123">
        <v>0</v>
      </c>
      <c r="O83" s="98"/>
      <c r="P83" s="6"/>
    </row>
    <row r="84" spans="1:16" ht="14.25" customHeight="1" x14ac:dyDescent="0.2">
      <c r="A84" s="141"/>
      <c r="B84" s="147" t="s">
        <v>70</v>
      </c>
      <c r="C84" s="127">
        <v>0</v>
      </c>
      <c r="D84" s="107">
        <v>0</v>
      </c>
      <c r="E84" s="107">
        <v>0</v>
      </c>
      <c r="F84" s="107">
        <v>0</v>
      </c>
      <c r="G84" s="107">
        <v>0</v>
      </c>
      <c r="H84" s="107">
        <v>0</v>
      </c>
      <c r="I84" s="124">
        <v>0</v>
      </c>
      <c r="J84" s="127">
        <v>6</v>
      </c>
      <c r="K84" s="107">
        <v>0</v>
      </c>
      <c r="L84" s="107">
        <v>2</v>
      </c>
      <c r="M84" s="107">
        <v>10</v>
      </c>
      <c r="N84" s="123">
        <v>12</v>
      </c>
      <c r="O84" s="98"/>
      <c r="P84" s="48"/>
    </row>
    <row r="85" spans="1:16" ht="14.25" customHeight="1" x14ac:dyDescent="0.2">
      <c r="A85" s="141"/>
      <c r="B85" s="147" t="s">
        <v>22</v>
      </c>
      <c r="C85" s="127">
        <v>10</v>
      </c>
      <c r="D85" s="107">
        <v>0</v>
      </c>
      <c r="E85" s="107">
        <v>0</v>
      </c>
      <c r="F85" s="107">
        <v>0</v>
      </c>
      <c r="G85" s="107">
        <v>0</v>
      </c>
      <c r="H85" s="107">
        <v>0</v>
      </c>
      <c r="I85" s="124">
        <v>0</v>
      </c>
      <c r="J85" s="127">
        <v>4</v>
      </c>
      <c r="K85" s="107">
        <v>0</v>
      </c>
      <c r="L85" s="107">
        <v>0</v>
      </c>
      <c r="M85" s="107">
        <v>0</v>
      </c>
      <c r="N85" s="123">
        <v>0</v>
      </c>
      <c r="O85" s="98"/>
      <c r="P85" s="48"/>
    </row>
    <row r="86" spans="1:16" ht="14.25" customHeight="1" x14ac:dyDescent="0.2">
      <c r="A86" s="141"/>
      <c r="B86" s="147" t="s">
        <v>84</v>
      </c>
      <c r="C86" s="127">
        <v>6</v>
      </c>
      <c r="D86" s="107">
        <v>0</v>
      </c>
      <c r="E86" s="107">
        <v>0</v>
      </c>
      <c r="F86" s="107">
        <v>1</v>
      </c>
      <c r="G86" s="107">
        <v>5</v>
      </c>
      <c r="H86" s="107">
        <v>7</v>
      </c>
      <c r="I86" s="124">
        <v>0</v>
      </c>
      <c r="J86" s="105">
        <v>0</v>
      </c>
      <c r="K86" s="104">
        <v>7</v>
      </c>
      <c r="L86" s="104">
        <v>2</v>
      </c>
      <c r="M86" s="104">
        <v>10</v>
      </c>
      <c r="N86" s="106">
        <v>3</v>
      </c>
      <c r="O86" s="98"/>
      <c r="P86" s="48"/>
    </row>
    <row r="87" spans="1:16" ht="14.25" customHeight="1" x14ac:dyDescent="0.2">
      <c r="A87" s="141"/>
      <c r="B87" s="147" t="s">
        <v>15</v>
      </c>
      <c r="C87" s="127">
        <v>4</v>
      </c>
      <c r="D87" s="107">
        <v>3</v>
      </c>
      <c r="E87" s="107">
        <v>3</v>
      </c>
      <c r="F87" s="107">
        <v>2</v>
      </c>
      <c r="G87" s="107">
        <v>2</v>
      </c>
      <c r="H87" s="107">
        <v>7</v>
      </c>
      <c r="I87" s="124">
        <v>0</v>
      </c>
      <c r="J87" s="127">
        <v>0</v>
      </c>
      <c r="K87" s="107">
        <v>9</v>
      </c>
      <c r="L87" s="107">
        <v>0</v>
      </c>
      <c r="M87" s="107">
        <v>0</v>
      </c>
      <c r="N87" s="123">
        <v>0</v>
      </c>
      <c r="O87" s="98"/>
      <c r="P87" s="48"/>
    </row>
    <row r="88" spans="1:16" ht="14.25" customHeight="1" x14ac:dyDescent="0.2">
      <c r="A88" s="141"/>
      <c r="B88" s="147" t="s">
        <v>51</v>
      </c>
      <c r="C88" s="127">
        <v>5</v>
      </c>
      <c r="D88" s="107">
        <v>7</v>
      </c>
      <c r="E88" s="107">
        <v>4</v>
      </c>
      <c r="F88" s="107">
        <v>0</v>
      </c>
      <c r="G88" s="107">
        <v>4</v>
      </c>
      <c r="H88" s="107">
        <v>9</v>
      </c>
      <c r="I88" s="124">
        <v>0</v>
      </c>
      <c r="J88" s="127">
        <v>0</v>
      </c>
      <c r="K88" s="107">
        <v>3</v>
      </c>
      <c r="L88" s="107">
        <v>0</v>
      </c>
      <c r="M88" s="107">
        <v>11</v>
      </c>
      <c r="N88" s="123">
        <v>6</v>
      </c>
      <c r="O88" s="98"/>
      <c r="P88" s="48"/>
    </row>
    <row r="89" spans="1:16" ht="14.25" customHeight="1" x14ac:dyDescent="0.2">
      <c r="A89" s="141"/>
      <c r="B89" s="147" t="s">
        <v>85</v>
      </c>
      <c r="C89" s="127">
        <v>2</v>
      </c>
      <c r="D89" s="107">
        <v>0</v>
      </c>
      <c r="E89" s="107">
        <v>0</v>
      </c>
      <c r="F89" s="107">
        <v>0</v>
      </c>
      <c r="G89" s="107">
        <v>0</v>
      </c>
      <c r="H89" s="107">
        <v>0</v>
      </c>
      <c r="I89" s="124">
        <v>0</v>
      </c>
      <c r="J89" s="127">
        <v>6</v>
      </c>
      <c r="K89" s="107">
        <v>0</v>
      </c>
      <c r="L89" s="107">
        <v>0</v>
      </c>
      <c r="M89" s="107">
        <v>0</v>
      </c>
      <c r="N89" s="123">
        <v>0</v>
      </c>
      <c r="O89" s="98"/>
      <c r="P89" s="48"/>
    </row>
    <row r="90" spans="1:16" ht="14.25" customHeight="1" x14ac:dyDescent="0.2">
      <c r="A90" s="141"/>
      <c r="B90" s="147" t="s">
        <v>49</v>
      </c>
      <c r="C90" s="127">
        <v>0</v>
      </c>
      <c r="D90" s="107">
        <v>3</v>
      </c>
      <c r="E90" s="107">
        <v>2</v>
      </c>
      <c r="F90" s="107">
        <v>3</v>
      </c>
      <c r="G90" s="107">
        <v>2</v>
      </c>
      <c r="H90" s="107">
        <v>6</v>
      </c>
      <c r="I90" s="124">
        <v>0</v>
      </c>
      <c r="J90" s="127">
        <v>0</v>
      </c>
      <c r="K90" s="107">
        <v>8</v>
      </c>
      <c r="L90" s="107">
        <v>0</v>
      </c>
      <c r="M90" s="107">
        <v>8</v>
      </c>
      <c r="N90" s="123">
        <v>5</v>
      </c>
      <c r="O90" s="98"/>
      <c r="P90" s="48"/>
    </row>
    <row r="91" spans="1:16" ht="14.25" customHeight="1" x14ac:dyDescent="0.2">
      <c r="A91" s="141"/>
      <c r="B91" s="147" t="s">
        <v>32</v>
      </c>
      <c r="C91" s="127">
        <v>10</v>
      </c>
      <c r="D91" s="107">
        <v>6</v>
      </c>
      <c r="E91" s="107">
        <v>3</v>
      </c>
      <c r="F91" s="107">
        <v>3</v>
      </c>
      <c r="G91" s="107">
        <v>9</v>
      </c>
      <c r="H91" s="107">
        <v>7</v>
      </c>
      <c r="I91" s="124">
        <v>0</v>
      </c>
      <c r="J91" s="127">
        <v>0</v>
      </c>
      <c r="K91" s="107">
        <v>6</v>
      </c>
      <c r="L91" s="107">
        <v>0</v>
      </c>
      <c r="M91" s="107">
        <v>0</v>
      </c>
      <c r="N91" s="123">
        <v>0</v>
      </c>
      <c r="O91" s="98"/>
      <c r="P91" s="48"/>
    </row>
    <row r="92" spans="1:16" ht="14.25" customHeight="1" x14ac:dyDescent="0.2">
      <c r="A92" s="141"/>
      <c r="B92" s="147" t="s">
        <v>34</v>
      </c>
      <c r="C92" s="127">
        <v>4</v>
      </c>
      <c r="D92" s="107">
        <v>4</v>
      </c>
      <c r="E92" s="107">
        <v>1</v>
      </c>
      <c r="F92" s="107">
        <v>4</v>
      </c>
      <c r="G92" s="107">
        <v>3</v>
      </c>
      <c r="H92" s="107">
        <v>3</v>
      </c>
      <c r="I92" s="124">
        <v>0</v>
      </c>
      <c r="J92" s="127">
        <v>0</v>
      </c>
      <c r="K92" s="107">
        <v>6</v>
      </c>
      <c r="L92" s="107">
        <v>3</v>
      </c>
      <c r="M92" s="107">
        <v>4</v>
      </c>
      <c r="N92" s="123">
        <v>3</v>
      </c>
      <c r="O92" s="98"/>
      <c r="P92" s="48"/>
    </row>
    <row r="93" spans="1:16" ht="14.25" customHeight="1" x14ac:dyDescent="0.2">
      <c r="A93" s="141"/>
      <c r="B93" s="147" t="s">
        <v>17</v>
      </c>
      <c r="C93" s="127">
        <v>0</v>
      </c>
      <c r="D93" s="107">
        <v>0</v>
      </c>
      <c r="E93" s="107">
        <v>2</v>
      </c>
      <c r="F93" s="107">
        <v>0</v>
      </c>
      <c r="G93" s="107">
        <v>0</v>
      </c>
      <c r="H93" s="107">
        <v>0</v>
      </c>
      <c r="I93" s="124">
        <v>0</v>
      </c>
      <c r="J93" s="127">
        <v>3</v>
      </c>
      <c r="K93" s="107">
        <v>0</v>
      </c>
      <c r="L93" s="107">
        <v>0</v>
      </c>
      <c r="M93" s="107">
        <v>0</v>
      </c>
      <c r="N93" s="123">
        <v>4</v>
      </c>
      <c r="O93" s="98"/>
      <c r="P93" s="48"/>
    </row>
    <row r="94" spans="1:16" ht="14.25" customHeight="1" x14ac:dyDescent="0.2">
      <c r="A94" s="141"/>
      <c r="B94" s="147" t="s">
        <v>76</v>
      </c>
      <c r="C94" s="127">
        <v>5</v>
      </c>
      <c r="D94" s="107">
        <v>5</v>
      </c>
      <c r="E94" s="107">
        <v>4</v>
      </c>
      <c r="F94" s="107">
        <v>6</v>
      </c>
      <c r="G94" s="107">
        <v>0</v>
      </c>
      <c r="H94" s="107">
        <v>8</v>
      </c>
      <c r="I94" s="124">
        <v>0</v>
      </c>
      <c r="J94" s="127">
        <v>0</v>
      </c>
      <c r="K94" s="107">
        <v>12</v>
      </c>
      <c r="L94" s="107">
        <v>1</v>
      </c>
      <c r="M94" s="107">
        <v>11</v>
      </c>
      <c r="N94" s="123">
        <v>9</v>
      </c>
      <c r="O94" s="98"/>
      <c r="P94" s="48"/>
    </row>
    <row r="95" spans="1:16" ht="14.25" customHeight="1" x14ac:dyDescent="0.2">
      <c r="A95" s="141"/>
      <c r="B95" s="147" t="s">
        <v>42</v>
      </c>
      <c r="C95" s="127">
        <v>9</v>
      </c>
      <c r="D95" s="107">
        <v>8</v>
      </c>
      <c r="E95" s="107">
        <v>5</v>
      </c>
      <c r="F95" s="107">
        <v>4</v>
      </c>
      <c r="G95" s="107">
        <v>2</v>
      </c>
      <c r="H95" s="107">
        <v>0</v>
      </c>
      <c r="I95" s="124">
        <v>1</v>
      </c>
      <c r="J95" s="127">
        <v>5</v>
      </c>
      <c r="K95" s="107">
        <v>10</v>
      </c>
      <c r="L95" s="107">
        <v>6</v>
      </c>
      <c r="M95" s="107">
        <v>12</v>
      </c>
      <c r="N95" s="123">
        <v>10</v>
      </c>
      <c r="O95" s="98"/>
      <c r="P95" s="48"/>
    </row>
    <row r="96" spans="1:16" ht="14.25" customHeight="1" x14ac:dyDescent="0.2">
      <c r="A96" s="141"/>
      <c r="B96" s="147" t="s">
        <v>30</v>
      </c>
      <c r="C96" s="127">
        <v>7</v>
      </c>
      <c r="D96" s="107">
        <v>6</v>
      </c>
      <c r="E96" s="107">
        <v>3</v>
      </c>
      <c r="F96" s="107">
        <v>0</v>
      </c>
      <c r="G96" s="107">
        <v>4</v>
      </c>
      <c r="H96" s="107">
        <v>10</v>
      </c>
      <c r="I96" s="124">
        <v>0</v>
      </c>
      <c r="J96" s="127">
        <v>0</v>
      </c>
      <c r="K96" s="107">
        <v>4</v>
      </c>
      <c r="L96" s="107">
        <v>1</v>
      </c>
      <c r="M96" s="107">
        <v>2</v>
      </c>
      <c r="N96" s="123">
        <v>7</v>
      </c>
      <c r="O96" s="98"/>
      <c r="P96" s="48"/>
    </row>
    <row r="97" spans="1:16" ht="14.25" customHeight="1" x14ac:dyDescent="0.2">
      <c r="A97" s="141"/>
      <c r="B97" s="147" t="s">
        <v>63</v>
      </c>
      <c r="C97" s="127">
        <v>16</v>
      </c>
      <c r="D97" s="107">
        <v>5</v>
      </c>
      <c r="E97" s="107">
        <v>0</v>
      </c>
      <c r="F97" s="107">
        <v>0</v>
      </c>
      <c r="G97" s="107">
        <v>6</v>
      </c>
      <c r="H97" s="107">
        <v>9</v>
      </c>
      <c r="I97" s="124">
        <v>0</v>
      </c>
      <c r="J97" s="127">
        <v>0</v>
      </c>
      <c r="K97" s="107">
        <v>12</v>
      </c>
      <c r="L97" s="107">
        <v>6</v>
      </c>
      <c r="M97" s="107">
        <v>9</v>
      </c>
      <c r="N97" s="123">
        <v>8</v>
      </c>
      <c r="O97" s="98"/>
      <c r="P97" s="48"/>
    </row>
    <row r="98" spans="1:16" ht="14.25" customHeight="1" x14ac:dyDescent="0.2">
      <c r="A98" s="141"/>
      <c r="B98" s="147" t="s">
        <v>54</v>
      </c>
      <c r="C98" s="127">
        <v>7</v>
      </c>
      <c r="D98" s="107">
        <v>2</v>
      </c>
      <c r="E98" s="107">
        <v>1</v>
      </c>
      <c r="F98" s="107">
        <v>1</v>
      </c>
      <c r="G98" s="107">
        <v>2</v>
      </c>
      <c r="H98" s="107">
        <v>2</v>
      </c>
      <c r="I98" s="124">
        <v>0</v>
      </c>
      <c r="J98" s="127">
        <v>1</v>
      </c>
      <c r="K98" s="107">
        <v>2</v>
      </c>
      <c r="L98" s="107">
        <v>1</v>
      </c>
      <c r="M98" s="107">
        <v>10</v>
      </c>
      <c r="N98" s="123">
        <v>2</v>
      </c>
      <c r="O98" s="98"/>
      <c r="P98" s="48"/>
    </row>
    <row r="99" spans="1:16" ht="14.25" customHeight="1" x14ac:dyDescent="0.2">
      <c r="A99" s="141"/>
      <c r="B99" s="147" t="s">
        <v>19</v>
      </c>
      <c r="C99" s="127">
        <v>0</v>
      </c>
      <c r="D99" s="107">
        <v>0</v>
      </c>
      <c r="E99" s="107">
        <v>0</v>
      </c>
      <c r="F99" s="107">
        <v>0</v>
      </c>
      <c r="G99" s="107">
        <v>0</v>
      </c>
      <c r="H99" s="107">
        <v>1</v>
      </c>
      <c r="I99" s="124">
        <v>0</v>
      </c>
      <c r="J99" s="127">
        <v>2</v>
      </c>
      <c r="K99" s="107">
        <v>2</v>
      </c>
      <c r="L99" s="107">
        <v>0</v>
      </c>
      <c r="M99" s="107">
        <v>0</v>
      </c>
      <c r="N99" s="123">
        <v>0</v>
      </c>
      <c r="O99" s="98"/>
      <c r="P99" s="48"/>
    </row>
    <row r="100" spans="1:16" ht="14.25" customHeight="1" x14ac:dyDescent="0.2">
      <c r="A100" s="141"/>
      <c r="B100" s="147" t="s">
        <v>91</v>
      </c>
      <c r="C100" s="127">
        <v>0</v>
      </c>
      <c r="D100" s="107">
        <v>0</v>
      </c>
      <c r="E100" s="107">
        <v>0</v>
      </c>
      <c r="F100" s="107">
        <v>0</v>
      </c>
      <c r="G100" s="107">
        <v>0</v>
      </c>
      <c r="H100" s="107">
        <v>0</v>
      </c>
      <c r="I100" s="124">
        <v>0</v>
      </c>
      <c r="J100" s="127">
        <v>0</v>
      </c>
      <c r="K100" s="107">
        <v>4</v>
      </c>
      <c r="L100" s="107">
        <v>0</v>
      </c>
      <c r="M100" s="107">
        <v>0</v>
      </c>
      <c r="N100" s="123">
        <v>0</v>
      </c>
      <c r="O100" s="98"/>
      <c r="P100" s="48"/>
    </row>
    <row r="101" spans="1:16" ht="14.25" customHeight="1" x14ac:dyDescent="0.2">
      <c r="A101" s="141"/>
      <c r="B101" s="89" t="s">
        <v>86</v>
      </c>
      <c r="C101" s="110">
        <v>23</v>
      </c>
      <c r="D101" s="108">
        <v>13</v>
      </c>
      <c r="E101" s="108">
        <v>8</v>
      </c>
      <c r="F101" s="108">
        <v>10</v>
      </c>
      <c r="G101" s="108">
        <v>0</v>
      </c>
      <c r="H101" s="108">
        <v>15</v>
      </c>
      <c r="I101" s="109">
        <v>2</v>
      </c>
      <c r="J101" s="110">
        <v>3</v>
      </c>
      <c r="K101" s="108">
        <v>9</v>
      </c>
      <c r="L101" s="108">
        <v>0</v>
      </c>
      <c r="M101" s="108">
        <v>0</v>
      </c>
      <c r="N101" s="35">
        <v>0</v>
      </c>
      <c r="O101" s="98"/>
      <c r="P101" s="48"/>
    </row>
    <row r="102" spans="1:16" ht="14.25" customHeight="1" x14ac:dyDescent="0.2">
      <c r="A102" s="141"/>
      <c r="B102" s="89" t="s">
        <v>80</v>
      </c>
      <c r="C102" s="110">
        <v>6</v>
      </c>
      <c r="D102" s="108">
        <v>5</v>
      </c>
      <c r="E102" s="108">
        <v>5</v>
      </c>
      <c r="F102" s="108">
        <v>7</v>
      </c>
      <c r="G102" s="108">
        <v>3</v>
      </c>
      <c r="H102" s="108">
        <v>8</v>
      </c>
      <c r="I102" s="109">
        <v>1</v>
      </c>
      <c r="J102" s="110">
        <v>10</v>
      </c>
      <c r="K102" s="108">
        <v>0</v>
      </c>
      <c r="L102" s="108">
        <v>0</v>
      </c>
      <c r="M102" s="108">
        <v>0</v>
      </c>
      <c r="N102" s="35">
        <v>0</v>
      </c>
      <c r="O102" s="98"/>
      <c r="P102" s="48"/>
    </row>
    <row r="103" spans="1:16" ht="14.25" customHeight="1" x14ac:dyDescent="0.2">
      <c r="A103" s="141"/>
      <c r="B103" s="89" t="s">
        <v>37</v>
      </c>
      <c r="C103" s="110">
        <v>9</v>
      </c>
      <c r="D103" s="108">
        <v>0</v>
      </c>
      <c r="E103" s="108">
        <v>0</v>
      </c>
      <c r="F103" s="108">
        <v>0</v>
      </c>
      <c r="G103" s="108">
        <v>4</v>
      </c>
      <c r="H103" s="108">
        <v>5</v>
      </c>
      <c r="I103" s="109">
        <v>0</v>
      </c>
      <c r="J103" s="110">
        <v>4</v>
      </c>
      <c r="K103" s="108">
        <v>3</v>
      </c>
      <c r="L103" s="108">
        <v>0</v>
      </c>
      <c r="M103" s="108">
        <v>5</v>
      </c>
      <c r="N103" s="35">
        <v>0</v>
      </c>
      <c r="O103" s="98"/>
      <c r="P103" s="48"/>
    </row>
    <row r="104" spans="1:16" ht="14.25" customHeight="1" x14ac:dyDescent="0.2">
      <c r="A104" s="141"/>
      <c r="B104" s="89" t="s">
        <v>96</v>
      </c>
      <c r="C104" s="110">
        <v>0</v>
      </c>
      <c r="D104" s="108">
        <v>0</v>
      </c>
      <c r="E104" s="108">
        <v>0</v>
      </c>
      <c r="F104" s="108">
        <v>0</v>
      </c>
      <c r="G104" s="108">
        <v>0</v>
      </c>
      <c r="H104" s="108">
        <v>0</v>
      </c>
      <c r="I104" s="109">
        <v>0</v>
      </c>
      <c r="J104" s="110">
        <v>0</v>
      </c>
      <c r="K104" s="108">
        <v>0</v>
      </c>
      <c r="L104" s="108">
        <v>0</v>
      </c>
      <c r="M104" s="108">
        <v>14</v>
      </c>
      <c r="N104" s="35">
        <v>11</v>
      </c>
      <c r="O104" s="98"/>
      <c r="P104" s="48"/>
    </row>
    <row r="105" spans="1:16" ht="14.25" customHeight="1" x14ac:dyDescent="0.2">
      <c r="A105" s="141"/>
      <c r="B105" s="89" t="s">
        <v>68</v>
      </c>
      <c r="C105" s="110">
        <v>1</v>
      </c>
      <c r="D105" s="108">
        <v>0</v>
      </c>
      <c r="E105" s="108">
        <v>0</v>
      </c>
      <c r="F105" s="108">
        <v>0</v>
      </c>
      <c r="G105" s="108">
        <v>0</v>
      </c>
      <c r="H105" s="108">
        <v>2</v>
      </c>
      <c r="I105" s="109">
        <v>0</v>
      </c>
      <c r="J105" s="110">
        <v>0</v>
      </c>
      <c r="K105" s="108">
        <v>0</v>
      </c>
      <c r="L105" s="108">
        <v>0</v>
      </c>
      <c r="M105" s="108">
        <v>0</v>
      </c>
      <c r="N105" s="35">
        <v>0</v>
      </c>
      <c r="O105" s="98"/>
      <c r="P105" s="48"/>
    </row>
    <row r="106" spans="1:16" ht="14.25" customHeight="1" x14ac:dyDescent="0.2">
      <c r="A106" s="141"/>
      <c r="B106" s="89" t="s">
        <v>69</v>
      </c>
      <c r="C106" s="110">
        <v>0</v>
      </c>
      <c r="D106" s="108">
        <v>0</v>
      </c>
      <c r="E106" s="108">
        <v>0</v>
      </c>
      <c r="F106" s="108">
        <v>0</v>
      </c>
      <c r="G106" s="108">
        <v>0</v>
      </c>
      <c r="H106" s="108">
        <v>3</v>
      </c>
      <c r="I106" s="109">
        <v>2</v>
      </c>
      <c r="J106" s="110">
        <v>4</v>
      </c>
      <c r="K106" s="108">
        <v>1</v>
      </c>
      <c r="L106" s="108">
        <v>0</v>
      </c>
      <c r="M106" s="108">
        <v>4</v>
      </c>
      <c r="N106" s="35">
        <v>5</v>
      </c>
      <c r="O106" s="98"/>
      <c r="P106" s="48"/>
    </row>
    <row r="107" spans="1:16" ht="14.25" customHeight="1" x14ac:dyDescent="0.2">
      <c r="A107" s="141"/>
      <c r="B107" s="89" t="s">
        <v>97</v>
      </c>
      <c r="C107" s="110">
        <v>0</v>
      </c>
      <c r="D107" s="108">
        <v>0</v>
      </c>
      <c r="E107" s="108">
        <v>0</v>
      </c>
      <c r="F107" s="108">
        <v>0</v>
      </c>
      <c r="G107" s="108">
        <v>0</v>
      </c>
      <c r="H107" s="108">
        <v>0</v>
      </c>
      <c r="I107" s="109">
        <v>0</v>
      </c>
      <c r="J107" s="110">
        <v>0</v>
      </c>
      <c r="K107" s="108">
        <v>1</v>
      </c>
      <c r="L107" s="108">
        <v>0</v>
      </c>
      <c r="M107" s="108">
        <v>7</v>
      </c>
      <c r="N107" s="35">
        <v>10</v>
      </c>
      <c r="O107" s="98"/>
      <c r="P107" s="48"/>
    </row>
    <row r="108" spans="1:16" ht="14.25" customHeight="1" x14ac:dyDescent="0.2">
      <c r="A108" s="141"/>
      <c r="B108" s="89" t="s">
        <v>39</v>
      </c>
      <c r="C108" s="110">
        <v>5</v>
      </c>
      <c r="D108" s="108">
        <v>7</v>
      </c>
      <c r="E108" s="108">
        <v>0</v>
      </c>
      <c r="F108" s="108">
        <v>0</v>
      </c>
      <c r="G108" s="108">
        <v>6</v>
      </c>
      <c r="H108" s="108">
        <v>5</v>
      </c>
      <c r="I108" s="109">
        <v>0</v>
      </c>
      <c r="J108" s="110">
        <v>0</v>
      </c>
      <c r="K108" s="108">
        <v>1</v>
      </c>
      <c r="L108" s="108">
        <v>6</v>
      </c>
      <c r="M108" s="108">
        <v>5</v>
      </c>
      <c r="N108" s="35">
        <v>0</v>
      </c>
      <c r="O108" s="98"/>
      <c r="P108" s="48"/>
    </row>
    <row r="109" spans="1:16" ht="14.25" customHeight="1" x14ac:dyDescent="0.2">
      <c r="A109" s="141"/>
      <c r="B109" s="89" t="s">
        <v>88</v>
      </c>
      <c r="C109" s="110">
        <v>0</v>
      </c>
      <c r="D109" s="108">
        <v>6</v>
      </c>
      <c r="E109" s="108">
        <v>6</v>
      </c>
      <c r="F109" s="108">
        <v>5</v>
      </c>
      <c r="G109" s="108">
        <v>1</v>
      </c>
      <c r="H109" s="108">
        <v>5</v>
      </c>
      <c r="I109" s="109">
        <v>0</v>
      </c>
      <c r="J109" s="110">
        <v>0</v>
      </c>
      <c r="K109" s="108">
        <v>10</v>
      </c>
      <c r="L109" s="108">
        <v>5</v>
      </c>
      <c r="M109" s="108">
        <v>7</v>
      </c>
      <c r="N109" s="35">
        <v>13</v>
      </c>
      <c r="O109" s="98"/>
      <c r="P109" s="48"/>
    </row>
    <row r="110" spans="1:16" ht="14.25" customHeight="1" x14ac:dyDescent="0.2">
      <c r="A110" s="141"/>
      <c r="B110" s="89" t="s">
        <v>71</v>
      </c>
      <c r="C110" s="110">
        <v>10</v>
      </c>
      <c r="D110" s="108">
        <v>0</v>
      </c>
      <c r="E110" s="108">
        <v>0</v>
      </c>
      <c r="F110" s="108">
        <v>0</v>
      </c>
      <c r="G110" s="108">
        <v>0</v>
      </c>
      <c r="H110" s="108">
        <v>7</v>
      </c>
      <c r="I110" s="109">
        <v>0</v>
      </c>
      <c r="J110" s="110">
        <v>4</v>
      </c>
      <c r="K110" s="108">
        <v>5</v>
      </c>
      <c r="L110" s="108">
        <v>0</v>
      </c>
      <c r="M110" s="108">
        <v>0</v>
      </c>
      <c r="N110" s="35">
        <v>0</v>
      </c>
      <c r="O110" s="98"/>
      <c r="P110" s="48"/>
    </row>
    <row r="111" spans="1:16" ht="14.25" customHeight="1" x14ac:dyDescent="0.2">
      <c r="A111" s="141"/>
      <c r="B111" s="89" t="s">
        <v>59</v>
      </c>
      <c r="C111" s="110">
        <v>14</v>
      </c>
      <c r="D111" s="108">
        <v>10</v>
      </c>
      <c r="E111" s="108">
        <v>12</v>
      </c>
      <c r="F111" s="108">
        <v>1</v>
      </c>
      <c r="G111" s="108">
        <v>1</v>
      </c>
      <c r="H111" s="108">
        <v>2</v>
      </c>
      <c r="I111" s="109">
        <v>0</v>
      </c>
      <c r="J111" s="110">
        <v>0</v>
      </c>
      <c r="K111" s="108">
        <v>0</v>
      </c>
      <c r="L111" s="108">
        <v>0</v>
      </c>
      <c r="M111" s="108">
        <v>0</v>
      </c>
      <c r="N111" s="35">
        <v>0</v>
      </c>
      <c r="O111" s="98"/>
      <c r="P111" s="48"/>
    </row>
    <row r="112" spans="1:16" ht="14.25" customHeight="1" x14ac:dyDescent="0.2">
      <c r="A112" s="141"/>
      <c r="B112" s="89" t="s">
        <v>40</v>
      </c>
      <c r="C112" s="110">
        <v>4</v>
      </c>
      <c r="D112" s="108">
        <v>4</v>
      </c>
      <c r="E112" s="108">
        <v>6</v>
      </c>
      <c r="F112" s="108">
        <v>7</v>
      </c>
      <c r="G112" s="108">
        <v>8</v>
      </c>
      <c r="H112" s="108">
        <v>9</v>
      </c>
      <c r="I112" s="109">
        <v>0</v>
      </c>
      <c r="J112" s="110">
        <v>0</v>
      </c>
      <c r="K112" s="108">
        <v>12</v>
      </c>
      <c r="L112" s="108">
        <v>5</v>
      </c>
      <c r="M112" s="108">
        <v>19</v>
      </c>
      <c r="N112" s="35">
        <v>7</v>
      </c>
      <c r="O112" s="98"/>
      <c r="P112" s="48"/>
    </row>
    <row r="113" spans="1:16" ht="14.25" customHeight="1" x14ac:dyDescent="0.2">
      <c r="A113" s="141"/>
      <c r="B113" s="89" t="s">
        <v>72</v>
      </c>
      <c r="C113" s="110">
        <v>5</v>
      </c>
      <c r="D113" s="108">
        <v>1</v>
      </c>
      <c r="E113" s="108">
        <v>0</v>
      </c>
      <c r="F113" s="108">
        <v>2</v>
      </c>
      <c r="G113" s="108">
        <v>0</v>
      </c>
      <c r="H113" s="108">
        <v>0</v>
      </c>
      <c r="I113" s="109">
        <v>0</v>
      </c>
      <c r="J113" s="110">
        <v>0</v>
      </c>
      <c r="K113" s="108">
        <v>0</v>
      </c>
      <c r="L113" s="108">
        <v>0</v>
      </c>
      <c r="M113" s="108">
        <v>0</v>
      </c>
      <c r="N113" s="35">
        <v>0</v>
      </c>
      <c r="O113" s="98"/>
      <c r="P113" s="48"/>
    </row>
    <row r="114" spans="1:16" ht="14.25" customHeight="1" x14ac:dyDescent="0.2">
      <c r="A114" s="141"/>
      <c r="B114" s="89" t="s">
        <v>66</v>
      </c>
      <c r="C114" s="110">
        <v>0</v>
      </c>
      <c r="D114" s="108">
        <v>0</v>
      </c>
      <c r="E114" s="108">
        <v>0</v>
      </c>
      <c r="F114" s="108">
        <v>0</v>
      </c>
      <c r="G114" s="108">
        <v>0</v>
      </c>
      <c r="H114" s="108">
        <v>0</v>
      </c>
      <c r="I114" s="109">
        <v>0</v>
      </c>
      <c r="J114" s="110">
        <v>0</v>
      </c>
      <c r="K114" s="108">
        <v>7</v>
      </c>
      <c r="L114" s="108">
        <v>0</v>
      </c>
      <c r="M114" s="108">
        <v>6</v>
      </c>
      <c r="N114" s="35">
        <v>6</v>
      </c>
      <c r="O114" s="98"/>
      <c r="P114" s="48"/>
    </row>
    <row r="115" spans="1:16" ht="14.25" customHeight="1" x14ac:dyDescent="0.2">
      <c r="A115" s="141"/>
      <c r="B115" s="89" t="s">
        <v>75</v>
      </c>
      <c r="C115" s="110">
        <v>4</v>
      </c>
      <c r="D115" s="108">
        <v>34</v>
      </c>
      <c r="E115" s="108">
        <v>26</v>
      </c>
      <c r="F115" s="108">
        <v>7</v>
      </c>
      <c r="G115" s="108">
        <v>18</v>
      </c>
      <c r="H115" s="108">
        <v>16</v>
      </c>
      <c r="I115" s="109">
        <v>0</v>
      </c>
      <c r="J115" s="110">
        <v>0</v>
      </c>
      <c r="K115" s="108">
        <v>0</v>
      </c>
      <c r="L115" s="108">
        <v>0</v>
      </c>
      <c r="M115" s="108">
        <v>0</v>
      </c>
      <c r="N115" s="35">
        <v>0</v>
      </c>
      <c r="O115" s="98"/>
      <c r="P115" s="48"/>
    </row>
    <row r="116" spans="1:16" ht="14.25" customHeight="1" x14ac:dyDescent="0.2">
      <c r="A116" s="141"/>
      <c r="B116" s="89" t="s">
        <v>98</v>
      </c>
      <c r="C116" s="110">
        <v>0</v>
      </c>
      <c r="D116" s="108">
        <v>0</v>
      </c>
      <c r="E116" s="108">
        <v>0</v>
      </c>
      <c r="F116" s="108">
        <v>0</v>
      </c>
      <c r="G116" s="108">
        <v>0</v>
      </c>
      <c r="H116" s="108">
        <v>0</v>
      </c>
      <c r="I116" s="109">
        <v>0</v>
      </c>
      <c r="J116" s="110">
        <v>0</v>
      </c>
      <c r="K116" s="108">
        <v>0</v>
      </c>
      <c r="L116" s="108">
        <v>0</v>
      </c>
      <c r="M116" s="108">
        <v>21</v>
      </c>
      <c r="N116" s="35">
        <v>12</v>
      </c>
      <c r="O116" s="98"/>
      <c r="P116" s="48"/>
    </row>
    <row r="117" spans="1:16" ht="14.25" customHeight="1" x14ac:dyDescent="0.2">
      <c r="A117" s="141"/>
      <c r="B117" s="89" t="s">
        <v>53</v>
      </c>
      <c r="C117" s="110">
        <v>5</v>
      </c>
      <c r="D117" s="108">
        <v>5</v>
      </c>
      <c r="E117" s="108">
        <v>2</v>
      </c>
      <c r="F117" s="108">
        <v>2</v>
      </c>
      <c r="G117" s="108">
        <v>1</v>
      </c>
      <c r="H117" s="108">
        <v>1</v>
      </c>
      <c r="I117" s="109">
        <v>0</v>
      </c>
      <c r="J117" s="110">
        <v>3</v>
      </c>
      <c r="K117" s="108">
        <v>4</v>
      </c>
      <c r="L117" s="108">
        <v>0</v>
      </c>
      <c r="M117" s="108">
        <v>0</v>
      </c>
      <c r="N117" s="35">
        <v>2</v>
      </c>
      <c r="O117" s="98"/>
      <c r="P117" s="48"/>
    </row>
    <row r="118" spans="1:16" ht="14.25" customHeight="1" x14ac:dyDescent="0.2">
      <c r="A118" s="141"/>
      <c r="B118" s="89" t="s">
        <v>89</v>
      </c>
      <c r="C118" s="110">
        <v>0</v>
      </c>
      <c r="D118" s="108">
        <v>0</v>
      </c>
      <c r="E118" s="108">
        <v>0</v>
      </c>
      <c r="F118" s="108">
        <v>0</v>
      </c>
      <c r="G118" s="108">
        <v>0</v>
      </c>
      <c r="H118" s="108">
        <v>8</v>
      </c>
      <c r="I118" s="109">
        <v>0</v>
      </c>
      <c r="J118" s="110">
        <v>0</v>
      </c>
      <c r="K118" s="108">
        <v>0</v>
      </c>
      <c r="L118" s="108">
        <v>0</v>
      </c>
      <c r="M118" s="108">
        <v>0</v>
      </c>
      <c r="N118" s="35">
        <v>0</v>
      </c>
      <c r="O118" s="98"/>
      <c r="P118" s="48"/>
    </row>
    <row r="119" spans="1:16" ht="14.25" customHeight="1" x14ac:dyDescent="0.2">
      <c r="A119" s="141"/>
      <c r="B119" s="89" t="s">
        <v>99</v>
      </c>
      <c r="C119" s="110">
        <v>0</v>
      </c>
      <c r="D119" s="108">
        <v>14</v>
      </c>
      <c r="E119" s="108">
        <v>18</v>
      </c>
      <c r="F119" s="108">
        <v>0</v>
      </c>
      <c r="G119" s="108">
        <v>0</v>
      </c>
      <c r="H119" s="108">
        <v>0</v>
      </c>
      <c r="I119" s="109">
        <v>0</v>
      </c>
      <c r="J119" s="110">
        <v>0</v>
      </c>
      <c r="K119" s="108">
        <v>0</v>
      </c>
      <c r="L119" s="108">
        <v>0</v>
      </c>
      <c r="M119" s="108">
        <v>0</v>
      </c>
      <c r="N119" s="35">
        <v>0</v>
      </c>
      <c r="O119" s="98"/>
      <c r="P119" s="48"/>
    </row>
    <row r="120" spans="1:16" ht="14.25" customHeight="1" x14ac:dyDescent="0.2">
      <c r="A120" s="141"/>
      <c r="B120" s="89" t="s">
        <v>99</v>
      </c>
      <c r="C120" s="110">
        <v>0</v>
      </c>
      <c r="D120" s="108">
        <v>0</v>
      </c>
      <c r="E120" s="108">
        <v>0</v>
      </c>
      <c r="F120" s="108">
        <v>0</v>
      </c>
      <c r="G120" s="108">
        <v>13</v>
      </c>
      <c r="H120" s="108">
        <v>4</v>
      </c>
      <c r="I120" s="109">
        <v>0</v>
      </c>
      <c r="J120" s="110">
        <v>0</v>
      </c>
      <c r="K120" s="108">
        <v>0</v>
      </c>
      <c r="L120" s="108">
        <v>0</v>
      </c>
      <c r="M120" s="108">
        <v>0</v>
      </c>
      <c r="N120" s="35">
        <v>0</v>
      </c>
      <c r="O120" s="98"/>
      <c r="P120" s="48"/>
    </row>
    <row r="121" spans="1:16" ht="14.25" customHeight="1" thickBot="1" x14ac:dyDescent="0.25">
      <c r="A121" s="142"/>
      <c r="B121" s="80"/>
      <c r="C121" s="129"/>
      <c r="D121" s="77"/>
      <c r="E121" s="77"/>
      <c r="F121" s="77"/>
      <c r="G121" s="77"/>
      <c r="H121" s="77"/>
      <c r="I121" s="128"/>
      <c r="J121" s="129"/>
      <c r="K121" s="77"/>
      <c r="L121" s="77"/>
      <c r="M121" s="77"/>
      <c r="N121" s="79"/>
      <c r="O121" s="98"/>
      <c r="P121" s="48"/>
    </row>
    <row r="122" spans="1:16" ht="14.25" customHeight="1" thickBot="1" x14ac:dyDescent="0.25">
      <c r="A122" s="56"/>
      <c r="B122" s="60" t="s">
        <v>7</v>
      </c>
      <c r="C122" s="165">
        <f>SUM(C79:C121)</f>
        <v>203</v>
      </c>
      <c r="D122" s="111">
        <f>SUM(D79:D121)</f>
        <v>164</v>
      </c>
      <c r="E122" s="111">
        <f t="shared" ref="E122:N122" si="2">SUM(E79:E121)</f>
        <v>129</v>
      </c>
      <c r="F122" s="111">
        <f t="shared" si="2"/>
        <v>80</v>
      </c>
      <c r="G122" s="111">
        <f t="shared" si="2"/>
        <v>103</v>
      </c>
      <c r="H122" s="111">
        <f t="shared" si="2"/>
        <v>186</v>
      </c>
      <c r="I122" s="132">
        <f t="shared" si="2"/>
        <v>10</v>
      </c>
      <c r="J122" s="164">
        <f t="shared" si="2"/>
        <v>59</v>
      </c>
      <c r="K122" s="130">
        <f t="shared" si="2"/>
        <v>156</v>
      </c>
      <c r="L122" s="130">
        <f t="shared" si="2"/>
        <v>49</v>
      </c>
      <c r="M122" s="130">
        <f t="shared" si="2"/>
        <v>202</v>
      </c>
      <c r="N122" s="131">
        <f t="shared" si="2"/>
        <v>151</v>
      </c>
      <c r="O122" s="98"/>
      <c r="P122" s="48"/>
    </row>
    <row r="123" spans="1:16" ht="14.25" customHeight="1" x14ac:dyDescent="0.25">
      <c r="A123" s="56"/>
      <c r="B123" s="61" t="s">
        <v>5</v>
      </c>
      <c r="C123" s="83"/>
      <c r="D123" s="54"/>
      <c r="E123" s="54"/>
      <c r="F123" s="54"/>
      <c r="G123" s="54"/>
      <c r="H123" s="54"/>
      <c r="I123" s="84"/>
      <c r="J123" s="71"/>
      <c r="K123" s="3"/>
      <c r="L123" s="3"/>
      <c r="M123" s="3"/>
      <c r="N123" s="72"/>
      <c r="O123" s="98"/>
      <c r="P123" s="48"/>
    </row>
    <row r="124" spans="1:16" ht="14.25" customHeight="1" thickBot="1" x14ac:dyDescent="0.3">
      <c r="A124" s="56"/>
      <c r="B124" s="61" t="s">
        <v>8</v>
      </c>
      <c r="C124" s="71"/>
      <c r="D124" s="3"/>
      <c r="E124" s="3"/>
      <c r="F124" s="24">
        <f>SUM(C122:I122)/7/110.87</f>
        <v>1.1274465590331018</v>
      </c>
      <c r="G124" s="3"/>
      <c r="H124" s="3"/>
      <c r="I124" s="72"/>
      <c r="J124" s="71"/>
      <c r="K124" s="3"/>
      <c r="L124" s="24">
        <f>SUM(J122:N122)/5/110.87</f>
        <v>1.1130152430774782</v>
      </c>
      <c r="M124" s="3"/>
      <c r="N124" s="72"/>
      <c r="O124" s="98"/>
      <c r="P124" s="6"/>
    </row>
    <row r="125" spans="1:16" ht="14.25" customHeight="1" x14ac:dyDescent="0.25">
      <c r="A125" s="56"/>
      <c r="B125" s="62"/>
      <c r="C125" s="83"/>
      <c r="D125" s="54"/>
      <c r="E125" s="54"/>
      <c r="F125" s="54"/>
      <c r="G125" s="54"/>
      <c r="H125" s="54"/>
      <c r="I125" s="84"/>
      <c r="J125" s="83"/>
      <c r="K125" s="54"/>
      <c r="L125" s="54"/>
      <c r="M125" s="54"/>
      <c r="N125" s="84"/>
      <c r="O125" s="98"/>
      <c r="P125" s="6"/>
    </row>
    <row r="126" spans="1:16" ht="14.25" customHeight="1" thickBot="1" x14ac:dyDescent="0.3">
      <c r="A126" s="56"/>
      <c r="B126" s="61" t="s">
        <v>2</v>
      </c>
      <c r="C126" s="71"/>
      <c r="D126" s="3"/>
      <c r="E126" s="3"/>
      <c r="F126" s="24">
        <f>F69+F76+F124</f>
        <v>30.298370928781004</v>
      </c>
      <c r="G126" s="3"/>
      <c r="H126" s="3"/>
      <c r="I126" s="72"/>
      <c r="J126" s="71"/>
      <c r="K126" s="3"/>
      <c r="L126" s="24">
        <f>L69+L76+L124</f>
        <v>31.000432497979439</v>
      </c>
      <c r="M126" s="3"/>
      <c r="N126" s="72"/>
      <c r="O126" s="98"/>
      <c r="P126" s="6"/>
    </row>
    <row r="127" spans="1:16" ht="14.25" customHeight="1" x14ac:dyDescent="0.2">
      <c r="A127" s="56"/>
      <c r="B127" s="96" t="s">
        <v>65</v>
      </c>
      <c r="C127" s="9"/>
      <c r="D127" s="7"/>
      <c r="E127" s="7"/>
      <c r="F127" s="54">
        <f>F137</f>
        <v>28.448738593666132</v>
      </c>
      <c r="G127" s="7"/>
      <c r="H127" s="7"/>
      <c r="I127" s="63"/>
      <c r="J127" s="9"/>
      <c r="K127" s="7"/>
      <c r="L127" s="55">
        <f>F141</f>
        <v>30.542136339237789</v>
      </c>
      <c r="M127" s="7"/>
      <c r="N127" s="63"/>
      <c r="O127" s="98"/>
      <c r="P127" s="6"/>
    </row>
    <row r="128" spans="1:16" ht="14.25" customHeight="1" x14ac:dyDescent="0.2">
      <c r="A128" s="56"/>
      <c r="B128" s="56" t="s">
        <v>77</v>
      </c>
      <c r="C128" s="10"/>
      <c r="D128" s="5"/>
      <c r="E128" s="5"/>
      <c r="F128" s="3">
        <v>0.2</v>
      </c>
      <c r="G128" s="5"/>
      <c r="H128" s="5"/>
      <c r="I128" s="64"/>
      <c r="J128" s="10"/>
      <c r="K128" s="5"/>
      <c r="L128" s="133">
        <v>0.2</v>
      </c>
      <c r="M128" s="5"/>
      <c r="N128" s="64"/>
      <c r="O128" s="98"/>
      <c r="P128" s="6"/>
    </row>
    <row r="129" spans="1:16" ht="14.25" customHeight="1" x14ac:dyDescent="0.2">
      <c r="A129" s="65"/>
      <c r="B129" s="65" t="s">
        <v>12</v>
      </c>
      <c r="C129" s="10"/>
      <c r="D129" s="5"/>
      <c r="E129" s="5"/>
      <c r="F129" s="3">
        <v>0</v>
      </c>
      <c r="G129" s="5"/>
      <c r="H129" s="5"/>
      <c r="I129" s="64"/>
      <c r="J129" s="10"/>
      <c r="K129" s="5"/>
      <c r="L129" s="3">
        <v>0.5</v>
      </c>
      <c r="M129" s="5"/>
      <c r="N129" s="64"/>
      <c r="O129" s="98"/>
      <c r="P129" s="6"/>
    </row>
    <row r="130" spans="1:16" ht="14.25" customHeight="1" x14ac:dyDescent="0.2">
      <c r="A130" s="56"/>
      <c r="B130" s="56" t="s">
        <v>35</v>
      </c>
      <c r="C130" s="10"/>
      <c r="D130" s="5"/>
      <c r="E130" s="5"/>
      <c r="F130" s="3">
        <v>0.24</v>
      </c>
      <c r="G130" s="5"/>
      <c r="H130" s="5"/>
      <c r="I130" s="64"/>
      <c r="J130" s="10"/>
      <c r="K130" s="5"/>
      <c r="L130" s="3">
        <v>0.24</v>
      </c>
      <c r="M130" s="5"/>
      <c r="N130" s="64"/>
      <c r="O130" s="98"/>
      <c r="P130" s="6"/>
    </row>
    <row r="131" spans="1:16" ht="14.25" customHeight="1" x14ac:dyDescent="0.2">
      <c r="A131" s="56"/>
      <c r="B131" s="56" t="s">
        <v>78</v>
      </c>
      <c r="C131" s="10"/>
      <c r="D131" s="5"/>
      <c r="E131" s="5"/>
      <c r="F131" s="3">
        <v>0.04</v>
      </c>
      <c r="G131" s="5"/>
      <c r="H131" s="5"/>
      <c r="I131" s="64"/>
      <c r="J131" s="10"/>
      <c r="K131" s="5"/>
      <c r="L131" s="3">
        <v>0.04</v>
      </c>
      <c r="M131" s="5"/>
      <c r="N131" s="64"/>
      <c r="O131" s="98"/>
      <c r="P131" s="6"/>
    </row>
    <row r="132" spans="1:16" ht="14.25" customHeight="1" x14ac:dyDescent="0.2">
      <c r="A132" s="56"/>
      <c r="B132" s="56" t="s">
        <v>94</v>
      </c>
      <c r="C132" s="10"/>
      <c r="D132" s="5"/>
      <c r="E132" s="5"/>
      <c r="F132" s="3">
        <v>0</v>
      </c>
      <c r="G132" s="5"/>
      <c r="H132" s="5"/>
      <c r="I132" s="64"/>
      <c r="J132" s="10"/>
      <c r="K132" s="5"/>
      <c r="L132" s="3">
        <v>0.04</v>
      </c>
      <c r="M132" s="5"/>
      <c r="N132" s="64"/>
      <c r="O132" s="98"/>
      <c r="P132" s="6"/>
    </row>
    <row r="133" spans="1:16" ht="14.25" customHeight="1" thickBot="1" x14ac:dyDescent="0.3">
      <c r="A133" s="56"/>
      <c r="B133" s="66" t="s">
        <v>3</v>
      </c>
      <c r="C133" s="166"/>
      <c r="D133" s="15"/>
      <c r="E133" s="15"/>
      <c r="F133" s="85">
        <f>SUM(F127:F132)</f>
        <v>28.928738593666129</v>
      </c>
      <c r="G133" s="85"/>
      <c r="H133" s="85"/>
      <c r="I133" s="167"/>
      <c r="J133" s="86"/>
      <c r="K133" s="85"/>
      <c r="L133" s="85">
        <f>SUM(L127:L132)</f>
        <v>31.562136339237785</v>
      </c>
      <c r="M133" s="15"/>
      <c r="N133" s="67"/>
      <c r="O133" s="98"/>
      <c r="P133" s="6"/>
    </row>
    <row r="134" spans="1:16" ht="15" customHeight="1" thickBot="1" x14ac:dyDescent="0.25">
      <c r="A134" s="57"/>
      <c r="B134" s="60" t="s">
        <v>4</v>
      </c>
      <c r="C134" s="11"/>
      <c r="D134" s="8"/>
      <c r="E134" s="8"/>
      <c r="F134" s="8">
        <f>SUM(F133-F126)</f>
        <v>-1.3696323351148756</v>
      </c>
      <c r="G134" s="8"/>
      <c r="H134" s="8"/>
      <c r="I134" s="68"/>
      <c r="J134" s="11"/>
      <c r="K134" s="8"/>
      <c r="L134" s="82">
        <f>SUM(L133-L126)</f>
        <v>0.56170384125834616</v>
      </c>
      <c r="M134" s="8"/>
      <c r="N134" s="68"/>
      <c r="O134" s="98"/>
      <c r="P134" s="6"/>
    </row>
    <row r="135" spans="1:16" ht="14.25" customHeight="1" x14ac:dyDescent="0.2">
      <c r="A135" s="168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98"/>
      <c r="P135" s="6"/>
    </row>
    <row r="136" spans="1:16" ht="14.25" customHeight="1" x14ac:dyDescent="0.25">
      <c r="B136" s="14" t="s">
        <v>92</v>
      </c>
      <c r="C136" s="51" t="s">
        <v>23</v>
      </c>
      <c r="D136" s="51" t="s">
        <v>24</v>
      </c>
      <c r="E136" s="6"/>
      <c r="F136" s="51" t="s">
        <v>25</v>
      </c>
      <c r="G136" s="5"/>
      <c r="H136" s="5"/>
      <c r="I136" s="5"/>
      <c r="J136" s="5"/>
      <c r="K136" s="5"/>
      <c r="L136" s="5"/>
      <c r="M136" s="5"/>
      <c r="N136" s="5"/>
      <c r="O136" s="98"/>
      <c r="P136" s="6"/>
    </row>
    <row r="137" spans="1:16" ht="14.25" customHeight="1" x14ac:dyDescent="0.2">
      <c r="B137" s="1" t="s">
        <v>64</v>
      </c>
      <c r="C137" s="52">
        <v>530</v>
      </c>
      <c r="D137" s="1">
        <v>18.63</v>
      </c>
      <c r="E137" s="53" t="s">
        <v>26</v>
      </c>
      <c r="F137" s="3">
        <f>C137/D137</f>
        <v>28.448738593666132</v>
      </c>
      <c r="G137" s="3"/>
      <c r="H137" s="5"/>
      <c r="I137" s="5"/>
      <c r="J137" s="5"/>
      <c r="K137" s="5"/>
      <c r="L137" s="5"/>
      <c r="M137" s="5"/>
      <c r="N137" s="5"/>
      <c r="O137" s="98"/>
      <c r="P137" s="6"/>
    </row>
    <row r="138" spans="1:16" ht="14.25" customHeight="1" x14ac:dyDescent="0.2">
      <c r="B138" s="25"/>
      <c r="C138" s="25"/>
      <c r="D138" s="6"/>
      <c r="E138" s="20"/>
      <c r="F138" s="5"/>
      <c r="G138" s="5"/>
      <c r="H138" s="5"/>
      <c r="I138" s="5"/>
      <c r="J138" s="5"/>
      <c r="K138" s="5"/>
      <c r="L138" s="5"/>
      <c r="M138" s="5"/>
      <c r="N138" s="5"/>
      <c r="O138" s="98"/>
      <c r="P138" s="6"/>
    </row>
    <row r="139" spans="1:16" ht="14.25" customHeight="1" x14ac:dyDescent="0.2">
      <c r="B139" s="3"/>
      <c r="C139" s="5"/>
      <c r="D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98"/>
      <c r="P139" s="6"/>
    </row>
    <row r="140" spans="1:16" ht="14.25" customHeight="1" x14ac:dyDescent="0.25">
      <c r="B140" s="14" t="s">
        <v>93</v>
      </c>
      <c r="C140" s="51" t="s">
        <v>23</v>
      </c>
      <c r="D140" s="51" t="s">
        <v>24</v>
      </c>
      <c r="E140" s="51"/>
      <c r="F140" s="51" t="s">
        <v>25</v>
      </c>
      <c r="G140" s="51"/>
      <c r="H140" s="5"/>
      <c r="I140" s="6"/>
      <c r="J140" s="13"/>
      <c r="K140" s="6"/>
      <c r="L140" s="6"/>
      <c r="M140" s="6"/>
      <c r="N140" s="6"/>
      <c r="O140" s="98"/>
      <c r="P140" s="6"/>
    </row>
    <row r="141" spans="1:16" ht="14.25" customHeight="1" x14ac:dyDescent="0.2">
      <c r="B141" s="1" t="s">
        <v>48</v>
      </c>
      <c r="C141" s="52">
        <v>569</v>
      </c>
      <c r="D141" s="1">
        <v>18.63</v>
      </c>
      <c r="E141" s="53" t="s">
        <v>36</v>
      </c>
      <c r="F141" s="3">
        <f>C141/D141</f>
        <v>30.542136339237789</v>
      </c>
      <c r="G141" s="3"/>
      <c r="H141" s="5"/>
      <c r="I141" s="6"/>
      <c r="J141" s="5"/>
      <c r="K141" s="6"/>
      <c r="L141" s="6"/>
      <c r="M141" s="6"/>
      <c r="N141" s="6"/>
      <c r="O141" s="98"/>
      <c r="P141" s="6"/>
    </row>
    <row r="142" spans="1:16" ht="14.25" customHeight="1" x14ac:dyDescent="0.2">
      <c r="C142" s="6"/>
      <c r="D142" s="6"/>
      <c r="E142" s="20"/>
      <c r="F142" s="5"/>
      <c r="G142" s="6"/>
      <c r="H142" s="6"/>
      <c r="I142" s="6"/>
      <c r="J142" s="6"/>
      <c r="K142" s="6"/>
      <c r="L142" s="6"/>
      <c r="M142" s="6"/>
      <c r="N142" s="6"/>
      <c r="O142" s="98"/>
      <c r="P142" s="6"/>
    </row>
    <row r="143" spans="1:16" ht="14.25" customHeight="1" x14ac:dyDescent="0.2">
      <c r="C143" s="6"/>
      <c r="D143" s="6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98"/>
      <c r="P143" s="6"/>
    </row>
    <row r="144" spans="1:16" ht="14.25" customHeight="1" x14ac:dyDescent="0.2">
      <c r="B144" s="17" t="s">
        <v>100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22" ht="14.25" customHeight="1" x14ac:dyDescent="0.2">
      <c r="B145" s="4"/>
      <c r="G145" s="19"/>
    </row>
    <row r="146" spans="1:22" ht="14.25" customHeight="1" x14ac:dyDescent="0.2">
      <c r="G146" s="19"/>
      <c r="R146" s="26"/>
    </row>
    <row r="147" spans="1:22" ht="14.25" customHeight="1" x14ac:dyDescent="0.2">
      <c r="G147" s="19"/>
      <c r="Q147" s="26"/>
    </row>
    <row r="148" spans="1:22" ht="14.25" customHeight="1" x14ac:dyDescent="0.2">
      <c r="G148" s="19"/>
    </row>
    <row r="149" spans="1:22" ht="14.25" customHeight="1" x14ac:dyDescent="0.2">
      <c r="G149" s="19"/>
    </row>
    <row r="150" spans="1:22" s="26" customFormat="1" ht="14.25" customHeight="1" x14ac:dyDescent="0.2">
      <c r="A150" s="1"/>
      <c r="B150" s="1"/>
      <c r="C150" s="1"/>
      <c r="D150" s="1"/>
      <c r="E150" s="1"/>
      <c r="F150" s="1"/>
      <c r="G150" s="19"/>
      <c r="H150" s="1"/>
      <c r="I150" s="1"/>
      <c r="J150" s="1"/>
      <c r="K150" s="1"/>
      <c r="L150" s="1"/>
      <c r="M150" s="1"/>
      <c r="N150" s="1"/>
      <c r="O150" s="97"/>
      <c r="P150" s="1"/>
      <c r="Q150" s="1"/>
      <c r="R150" s="1"/>
      <c r="T150" s="1"/>
      <c r="U150" s="1"/>
      <c r="V150" s="1"/>
    </row>
    <row r="151" spans="1:22" ht="14.25" customHeight="1" x14ac:dyDescent="0.2">
      <c r="G151" s="19"/>
    </row>
    <row r="152" spans="1:22" ht="14.25" customHeight="1" x14ac:dyDescent="0.2">
      <c r="G152" s="19"/>
    </row>
    <row r="153" spans="1:22" ht="14.25" customHeight="1" x14ac:dyDescent="0.2">
      <c r="G153" s="19"/>
    </row>
    <row r="154" spans="1:22" ht="14.25" customHeight="1" x14ac:dyDescent="0.2">
      <c r="G154" s="19"/>
      <c r="V154" s="26"/>
    </row>
    <row r="155" spans="1:22" ht="14.25" customHeight="1" x14ac:dyDescent="0.2">
      <c r="G155" s="19"/>
      <c r="T155" s="26"/>
      <c r="U155" s="26"/>
    </row>
    <row r="156" spans="1:22" ht="14.25" customHeight="1" x14ac:dyDescent="0.2"/>
    <row r="157" spans="1:22" ht="14.25" customHeight="1" x14ac:dyDescent="0.2"/>
    <row r="158" spans="1:22" ht="14.25" customHeight="1" x14ac:dyDescent="0.2"/>
    <row r="159" spans="1:22" ht="14.25" customHeight="1" x14ac:dyDescent="0.2"/>
    <row r="160" spans="1:22" ht="14.25" customHeight="1" x14ac:dyDescent="0.2"/>
    <row r="161" ht="14.25" customHeight="1" x14ac:dyDescent="0.2"/>
  </sheetData>
  <phoneticPr fontId="0" type="noConversion"/>
  <pageMargins left="0.70866141732283472" right="0.19685039370078741" top="0.74803149606299213" bottom="0.19685039370078741" header="0.31496062992125984" footer="0.31496062992125984"/>
  <pageSetup paperSize="9" scale="65" fitToHeight="0" orientation="landscape" r:id="rId1"/>
  <headerFooter alignWithMargins="0">
    <oddFooter>Seite &amp;P von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6521C10B546944A842505C9528979D" ma:contentTypeVersion="13" ma:contentTypeDescription="Ein neues Dokument erstellen." ma:contentTypeScope="" ma:versionID="ed260d573fb12ab7e878956896c01974">
  <xsd:schema xmlns:xsd="http://www.w3.org/2001/XMLSchema" xmlns:xs="http://www.w3.org/2001/XMLSchema" xmlns:p="http://schemas.microsoft.com/office/2006/metadata/properties" xmlns:ns2="5e3ee435-13e6-47c9-9e2e-dc17d6585919" xmlns:ns3="66a168b1-b40b-4569-b9f9-7881a1a65bb2" targetNamespace="http://schemas.microsoft.com/office/2006/metadata/properties" ma:root="true" ma:fieldsID="3bb5e7e5394b4412f8c4a47d429aa43b" ns2:_="" ns3:_="">
    <xsd:import namespace="5e3ee435-13e6-47c9-9e2e-dc17d6585919"/>
    <xsd:import namespace="66a168b1-b40b-4569-b9f9-7881a1a65bb2"/>
    <xsd:element name="properties">
      <xsd:complexType>
        <xsd:sequence>
          <xsd:element name="documentManagement">
            <xsd:complexType>
              <xsd:all>
                <xsd:element ref="ns2:NamederKrankenkasse" minOccurs="0"/>
                <xsd:element ref="ns2:BE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ee435-13e6-47c9-9e2e-dc17d6585919" elementFormDefault="qualified">
    <xsd:import namespace="http://schemas.microsoft.com/office/2006/documentManagement/types"/>
    <xsd:import namespace="http://schemas.microsoft.com/office/infopath/2007/PartnerControls"/>
    <xsd:element name="NamederKrankenkasse" ma:index="8" nillable="true" ma:displayName="Name der Krankenkasse" ma:format="Dropdown" ma:internalName="NamederKrankenkasse">
      <xsd:simpleType>
        <xsd:restriction base="dms:Text">
          <xsd:maxLength value="255"/>
        </xsd:restriction>
      </xsd:simpleType>
    </xsd:element>
    <xsd:element name="BEM" ma:index="9" nillable="true" ma:displayName="BEM" ma:format="Dropdown" ma:internalName="BEM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8974728-19bb-4746-9f89-d7f5cbcdd2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168b1-b40b-4569-b9f9-7881a1a65bb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50528f-5265-495b-8fe3-b47b3305bcc2}" ma:internalName="TaxCatchAll" ma:showField="CatchAllData" ma:web="66a168b1-b40b-4569-b9f9-7881a1a65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M xmlns="5e3ee435-13e6-47c9-9e2e-dc17d6585919" xsi:nil="true"/>
    <lcf76f155ced4ddcb4097134ff3c332f xmlns="5e3ee435-13e6-47c9-9e2e-dc17d6585919">
      <Terms xmlns="http://schemas.microsoft.com/office/infopath/2007/PartnerControls"/>
    </lcf76f155ced4ddcb4097134ff3c332f>
    <TaxCatchAll xmlns="66a168b1-b40b-4569-b9f9-7881a1a65bb2" xsi:nil="true"/>
    <NamederKrankenkasse xmlns="5e3ee435-13e6-47c9-9e2e-dc17d658591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F7ABD58-D288-48EF-B6BC-E83463223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3ee435-13e6-47c9-9e2e-dc17d6585919"/>
    <ds:schemaRef ds:uri="66a168b1-b40b-4569-b9f9-7881a1a65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169354-6052-4467-A6B5-81EE7A67C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B9D7BA-414F-4AF8-B725-824CB818F216}">
  <ds:schemaRefs>
    <ds:schemaRef ds:uri="http://schemas.microsoft.com/office/2006/metadata/properties"/>
    <ds:schemaRef ds:uri="http://schemas.microsoft.com/office/infopath/2007/PartnerControls"/>
    <ds:schemaRef ds:uri="5e3ee435-13e6-47c9-9e2e-dc17d6585919"/>
    <ds:schemaRef ds:uri="66a168b1-b40b-4569-b9f9-7881a1a65bb2"/>
  </ds:schemaRefs>
</ds:datastoreItem>
</file>

<file path=customXml/itemProps4.xml><?xml version="1.0" encoding="utf-8"?>
<ds:datastoreItem xmlns:ds="http://schemas.openxmlformats.org/officeDocument/2006/customXml" ds:itemID="{6D1C68D5-8DDB-4662-9E31-FD509A5EBD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2024 - GES</vt:lpstr>
      <vt:lpstr>A</vt:lpstr>
    </vt:vector>
  </TitlesOfParts>
  <Company>Chr. Schulverein Lippe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Chr. Schulverein Lippe e.V.</dc:creator>
  <cp:lastModifiedBy>CREDO-VFV Riesen, Dimitri</cp:lastModifiedBy>
  <cp:lastPrinted>2025-03-20T09:59:21Z</cp:lastPrinted>
  <dcterms:created xsi:type="dcterms:W3CDTF">2000-09-05T07:58:11Z</dcterms:created>
  <dcterms:modified xsi:type="dcterms:W3CDTF">2026-03-12T08:22:30Z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0x010100496521C10B546944A842505C9528979D</vt:lpwstr>
  </property>
  <property fmtid="{D5CDD505-2E9C-101B-9397-08002B2CF9AE}" pid="3" name="MediaServiceImageTags">
    <vt:lpwstr/>
  </property>
</Properties>
</file>