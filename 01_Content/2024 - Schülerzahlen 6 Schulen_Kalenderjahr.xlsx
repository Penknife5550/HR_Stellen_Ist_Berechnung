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esminden-my.sharepoint.com/personal/margarethe_falk_fes-minden_de/Documents/Personal/Jahresabschluss/2024/"/>
    </mc:Choice>
  </mc:AlternateContent>
  <xr:revisionPtr revIDLastSave="13" documentId="8_{2E722E2B-0F55-47D1-B736-3F78EF22FCF6}" xr6:coauthVersionLast="47" xr6:coauthVersionMax="47" xr10:uidLastSave="{D53E8954-B6AD-4685-8BB7-EDDC5AB87BD5}"/>
  <bookViews>
    <workbookView xWindow="30612" yWindow="-108" windowWidth="30936" windowHeight="16896" xr2:uid="{6F095EB0-FC73-4C56-8E14-436037DF61DF}"/>
  </bookViews>
  <sheets>
    <sheet name="202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" l="1"/>
  <c r="D26" i="1" s="1"/>
  <c r="D9" i="1"/>
  <c r="C15" i="1"/>
  <c r="D10" i="1" s="1"/>
  <c r="D22" i="1" l="1"/>
  <c r="D25" i="1"/>
  <c r="D24" i="1"/>
  <c r="D27" i="1"/>
  <c r="D23" i="1"/>
  <c r="D14" i="1"/>
  <c r="D13" i="1"/>
  <c r="D12" i="1"/>
  <c r="D11" i="1"/>
  <c r="D15" i="1" l="1"/>
</calcChain>
</file>

<file path=xl/sharedStrings.xml><?xml version="1.0" encoding="utf-8"?>
<sst xmlns="http://schemas.openxmlformats.org/spreadsheetml/2006/main" count="21" uniqueCount="13">
  <si>
    <t>Schülerzahlen</t>
  </si>
  <si>
    <t>Aufteilung in %</t>
  </si>
  <si>
    <t>GES</t>
  </si>
  <si>
    <t>GYM</t>
  </si>
  <si>
    <t>GSH</t>
  </si>
  <si>
    <t>GSM</t>
  </si>
  <si>
    <t>GSS</t>
  </si>
  <si>
    <t>BK</t>
  </si>
  <si>
    <t>Summe</t>
  </si>
  <si>
    <t>Schülerzahl lt. Statistik Okt. 2023:</t>
  </si>
  <si>
    <t>Schülerzahl lt. Statistik Okt. 2024:</t>
  </si>
  <si>
    <t>Zeitraum: 01.08.2024 - 31.07.2025</t>
  </si>
  <si>
    <t>Zeitraum: 01.08.2023 - 31.07.2024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</si>
</sst>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name val="Arial"/>
      <family val="2"/>
    </font>
    <font>
      <b/>
      <sz val="12"/>
      <color rgb="FF244062"/>
      <name val="Arial"/>
      <family val="2"/>
    </font>
    <font>
      <sz val="12"/>
      <color rgb="FF244062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244062"/>
      <name val="Arial"/>
      <family val="2"/>
    </font>
    <font>
      <sz val="11"/>
      <color theme="5" tint="-0.499984740745262"/>
      <name val="Calibri"/>
      <family val="2"/>
      <scheme val="minor"/>
    </font>
    <font>
      <b/>
      <sz val="16"/>
      <color rgb="FF7030A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4" fillId="0" borderId="0" xfId="0" applyFont="1"/>
    <xf numFmtId="0" fontId="5" fillId="2" borderId="1" xfId="0" applyFont="1" applyFill="1" applyBorder="1"/>
    <xf numFmtId="0" fontId="6" fillId="2" borderId="2" xfId="0" applyFont="1" applyFill="1" applyBorder="1"/>
    <xf numFmtId="0" fontId="6" fillId="2" borderId="3" xfId="0" applyFont="1" applyFill="1" applyBorder="1"/>
    <xf numFmtId="0" fontId="5" fillId="0" borderId="5" xfId="0" applyFont="1" applyBorder="1"/>
    <xf numFmtId="0" fontId="6" fillId="0" borderId="6" xfId="0" applyFont="1" applyBorder="1"/>
    <xf numFmtId="10" fontId="7" fillId="0" borderId="7" xfId="0" applyNumberFormat="1" applyFont="1" applyBorder="1"/>
    <xf numFmtId="0" fontId="5" fillId="0" borderId="8" xfId="0" applyFont="1" applyBorder="1"/>
    <xf numFmtId="0" fontId="6" fillId="0" borderId="9" xfId="0" applyFont="1" applyBorder="1"/>
    <xf numFmtId="10" fontId="7" fillId="0" borderId="10" xfId="0" applyNumberFormat="1" applyFont="1" applyBorder="1"/>
    <xf numFmtId="0" fontId="5" fillId="0" borderId="11" xfId="0" applyFont="1" applyBorder="1"/>
    <xf numFmtId="10" fontId="7" fillId="0" borderId="13" xfId="0" applyNumberFormat="1" applyFont="1" applyBorder="1"/>
    <xf numFmtId="0" fontId="6" fillId="0" borderId="14" xfId="0" applyFont="1" applyBorder="1"/>
    <xf numFmtId="0" fontId="5" fillId="0" borderId="15" xfId="0" applyFont="1" applyBorder="1"/>
    <xf numFmtId="10" fontId="6" fillId="0" borderId="16" xfId="0" applyNumberFormat="1" applyFont="1" applyBorder="1"/>
    <xf numFmtId="0" fontId="5" fillId="0" borderId="17" xfId="0" applyFont="1" applyBorder="1"/>
    <xf numFmtId="0" fontId="3" fillId="0" borderId="0" xfId="0" applyFont="1"/>
    <xf numFmtId="0" fontId="5" fillId="2" borderId="19" xfId="0" applyFont="1" applyFill="1" applyBorder="1"/>
    <xf numFmtId="0" fontId="6" fillId="2" borderId="20" xfId="0" applyFont="1" applyFill="1" applyBorder="1"/>
    <xf numFmtId="0" fontId="6" fillId="2" borderId="21" xfId="0" applyFont="1" applyFill="1" applyBorder="1"/>
    <xf numFmtId="0" fontId="5" fillId="0" borderId="25" xfId="0" applyFont="1" applyBorder="1"/>
    <xf numFmtId="0" fontId="6" fillId="0" borderId="26" xfId="0" applyFont="1" applyBorder="1"/>
    <xf numFmtId="10" fontId="7" fillId="0" borderId="27" xfId="0" applyNumberFormat="1" applyFont="1" applyBorder="1"/>
    <xf numFmtId="0" fontId="6" fillId="0" borderId="12" xfId="0" applyFont="1" applyBorder="1"/>
    <xf numFmtId="0" fontId="5" fillId="0" borderId="4" xfId="0" applyFont="1" applyBorder="1"/>
    <xf numFmtId="0" fontId="6" fillId="0" borderId="28" xfId="0" applyFont="1" applyBorder="1"/>
    <xf numFmtId="10" fontId="7" fillId="0" borderId="29" xfId="0" applyNumberFormat="1" applyFont="1" applyBorder="1"/>
    <xf numFmtId="0" fontId="6" fillId="0" borderId="30" xfId="0" applyFont="1" applyBorder="1"/>
    <xf numFmtId="0" fontId="5" fillId="0" borderId="31" xfId="0" applyFont="1" applyBorder="1"/>
    <xf numFmtId="10" fontId="6" fillId="0" borderId="32" xfId="0" applyNumberFormat="1" applyFont="1" applyBorder="1"/>
    <xf numFmtId="0" fontId="1" fillId="0" borderId="0" xfId="0" applyFont="1"/>
    <xf numFmtId="0" fontId="5" fillId="2" borderId="22" xfId="0" applyFont="1" applyFill="1" applyBorder="1" applyAlignment="1">
      <alignment horizontal="center"/>
    </xf>
    <xf numFmtId="0" fontId="5" fillId="2" borderId="23" xfId="0" applyFont="1" applyFill="1" applyBorder="1" applyAlignment="1">
      <alignment horizontal="center"/>
    </xf>
    <xf numFmtId="0" fontId="5" fillId="2" borderId="2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2" fillId="0" borderId="0" xfId="0" applyFont="1"/>
    <xf numFmtId="0" fontId="8" fillId="0" borderId="0" xfId="0" applyFont="1"/>
    <xf numFmtId="0" fontId="9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B07BA-C1AA-4A3C-9421-37F30A44DCB3}">
  <dimension ref="A1:E28"/>
  <sheetViews>
    <sheetView tabSelected="1" workbookViewId="0">
      <selection activeCell="I9" sqref="I9"/>
    </sheetView>
  </sheetViews>
  <sheetFormatPr baseColWidth="10" defaultColWidth="11.44140625" defaultRowHeight="14.4" x14ac:dyDescent="0.3"/>
  <sheetData>
    <row r="1" spans="1:5" x14ac:dyDescent="0.3">
      <c r="A1" s="32"/>
      <c r="B1" s="32"/>
      <c r="C1" s="1"/>
      <c r="D1" s="1"/>
      <c r="E1" s="1"/>
    </row>
    <row r="2" spans="1:5" ht="21" x14ac:dyDescent="0.3">
      <c r="A2" s="39" t="s">
        <v>0</v>
      </c>
      <c r="B2" s="39"/>
      <c r="C2" s="40"/>
      <c r="D2" s="41"/>
      <c r="E2" s="41"/>
    </row>
    <row r="3" spans="1:5" x14ac:dyDescent="0.3">
      <c r="C3" s="1"/>
      <c r="D3" s="1"/>
      <c r="E3" s="1"/>
    </row>
    <row r="5" spans="1:5" ht="15.6" x14ac:dyDescent="0.3">
      <c r="A5" s="18" t="s">
        <v>12</v>
      </c>
      <c r="B5" s="18"/>
      <c r="C5" s="1"/>
    </row>
    <row r="6" spans="1:5" ht="15" thickBot="1" x14ac:dyDescent="0.35"/>
    <row r="7" spans="1:5" x14ac:dyDescent="0.3">
      <c r="B7" s="3" t="s">
        <v>9</v>
      </c>
      <c r="C7" s="4"/>
      <c r="D7" s="5"/>
    </row>
    <row r="8" spans="1:5" ht="15" thickBot="1" x14ac:dyDescent="0.35">
      <c r="B8" s="36" t="s">
        <v>1</v>
      </c>
      <c r="C8" s="37"/>
      <c r="D8" s="38"/>
    </row>
    <row r="9" spans="1:5" x14ac:dyDescent="0.3">
      <c r="B9" s="6" t="s">
        <v>2</v>
      </c>
      <c r="C9" s="7">
        <v>530</v>
      </c>
      <c r="D9" s="8">
        <f>C9/$C$15</f>
        <v>0.32655576093653726</v>
      </c>
    </row>
    <row r="10" spans="1:5" x14ac:dyDescent="0.3">
      <c r="B10" s="9" t="s">
        <v>3</v>
      </c>
      <c r="C10" s="10">
        <v>457</v>
      </c>
      <c r="D10" s="11">
        <f t="shared" ref="D10:D14" si="0">C10/$C$15</f>
        <v>0.28157732593961798</v>
      </c>
    </row>
    <row r="11" spans="1:5" x14ac:dyDescent="0.3">
      <c r="B11" s="9" t="s">
        <v>4</v>
      </c>
      <c r="C11" s="10">
        <v>184</v>
      </c>
      <c r="D11" s="11">
        <f t="shared" si="0"/>
        <v>0.11337030191004313</v>
      </c>
    </row>
    <row r="12" spans="1:5" x14ac:dyDescent="0.3">
      <c r="B12" s="9" t="s">
        <v>5</v>
      </c>
      <c r="C12" s="10">
        <v>202</v>
      </c>
      <c r="D12" s="11">
        <f t="shared" si="0"/>
        <v>0.12446087492298213</v>
      </c>
    </row>
    <row r="13" spans="1:5" x14ac:dyDescent="0.3">
      <c r="B13" s="9" t="s">
        <v>6</v>
      </c>
      <c r="C13" s="10">
        <v>203</v>
      </c>
      <c r="D13" s="11">
        <f t="shared" si="0"/>
        <v>0.1250770178681454</v>
      </c>
    </row>
    <row r="14" spans="1:5" ht="15" thickBot="1" x14ac:dyDescent="0.35">
      <c r="B14" s="12" t="s">
        <v>7</v>
      </c>
      <c r="C14" s="25">
        <v>47</v>
      </c>
      <c r="D14" s="13">
        <f t="shared" si="0"/>
        <v>2.895871842267406E-2</v>
      </c>
    </row>
    <row r="15" spans="1:5" ht="15" thickBot="1" x14ac:dyDescent="0.35">
      <c r="B15" s="14" t="s">
        <v>8</v>
      </c>
      <c r="C15" s="15">
        <f>SUM(C9:C14)</f>
        <v>1623</v>
      </c>
      <c r="D15" s="16">
        <f>SUM(D9:D14)</f>
        <v>0.99999999999999989</v>
      </c>
    </row>
    <row r="18" spans="1:4" ht="15.6" x14ac:dyDescent="0.3">
      <c r="A18" s="18" t="s">
        <v>11</v>
      </c>
      <c r="B18" s="18"/>
      <c r="C18" s="18"/>
      <c r="D18" s="2"/>
    </row>
    <row r="19" spans="1:4" ht="15" thickBot="1" x14ac:dyDescent="0.35">
      <c r="A19" s="32"/>
      <c r="B19" s="32"/>
      <c r="C19" s="1"/>
      <c r="D19" s="1"/>
    </row>
    <row r="20" spans="1:4" x14ac:dyDescent="0.3">
      <c r="A20" s="1"/>
      <c r="B20" s="19" t="s">
        <v>10</v>
      </c>
      <c r="C20" s="20"/>
      <c r="D20" s="21"/>
    </row>
    <row r="21" spans="1:4" ht="15" thickBot="1" x14ac:dyDescent="0.35">
      <c r="A21" s="1"/>
      <c r="B21" s="33" t="s">
        <v>1</v>
      </c>
      <c r="C21" s="34"/>
      <c r="D21" s="35"/>
    </row>
    <row r="22" spans="1:4" x14ac:dyDescent="0.3">
      <c r="A22" s="1"/>
      <c r="B22" s="22" t="s">
        <v>2</v>
      </c>
      <c r="C22" s="23">
        <v>569</v>
      </c>
      <c r="D22" s="24">
        <f>C22/$C$28</f>
        <v>0.34092270820850806</v>
      </c>
    </row>
    <row r="23" spans="1:4" x14ac:dyDescent="0.3">
      <c r="A23" s="1"/>
      <c r="B23" s="17" t="s">
        <v>3</v>
      </c>
      <c r="C23" s="10">
        <v>455</v>
      </c>
      <c r="D23" s="24">
        <f t="shared" ref="D23:D27" si="1">C23/$C$28</f>
        <v>0.27261833433193527</v>
      </c>
    </row>
    <row r="24" spans="1:4" x14ac:dyDescent="0.3">
      <c r="A24" s="1"/>
      <c r="B24" s="17" t="s">
        <v>4</v>
      </c>
      <c r="C24" s="10">
        <v>183</v>
      </c>
      <c r="D24" s="24">
        <f t="shared" si="1"/>
        <v>0.10964649490713002</v>
      </c>
    </row>
    <row r="25" spans="1:4" x14ac:dyDescent="0.3">
      <c r="A25" s="1"/>
      <c r="B25" s="17" t="s">
        <v>5</v>
      </c>
      <c r="C25" s="10">
        <v>202</v>
      </c>
      <c r="D25" s="24">
        <f t="shared" si="1"/>
        <v>0.12103055721989216</v>
      </c>
    </row>
    <row r="26" spans="1:4" x14ac:dyDescent="0.3">
      <c r="A26" s="1"/>
      <c r="B26" s="17" t="s">
        <v>6</v>
      </c>
      <c r="C26" s="10">
        <v>200</v>
      </c>
      <c r="D26" s="24">
        <f t="shared" si="1"/>
        <v>0.11983223487118035</v>
      </c>
    </row>
    <row r="27" spans="1:4" ht="15" thickBot="1" x14ac:dyDescent="0.35">
      <c r="A27" s="1"/>
      <c r="B27" s="26" t="s">
        <v>7</v>
      </c>
      <c r="C27" s="27">
        <v>60</v>
      </c>
      <c r="D27" s="28">
        <f t="shared" si="1"/>
        <v>3.5949670461354104E-2</v>
      </c>
    </row>
    <row r="28" spans="1:4" ht="15" thickBot="1" x14ac:dyDescent="0.35">
      <c r="A28" s="1"/>
      <c r="B28" s="29" t="s">
        <v>8</v>
      </c>
      <c r="C28" s="30">
        <f>SUM(C22:C27)</f>
        <v>1669</v>
      </c>
      <c r="D28" s="31">
        <v>1</v>
      </c>
    </row>
  </sheetData>
  <mergeCells count="5">
    <mergeCell ref="A19:B19"/>
    <mergeCell ref="B21:D21"/>
    <mergeCell ref="B8:D8"/>
    <mergeCell ref="A1:B1"/>
    <mergeCell ref="A2:B2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EM xmlns="5e3ee435-13e6-47c9-9e2e-dc17d6585919" xsi:nil="true"/>
    <lcf76f155ced4ddcb4097134ff3c332f xmlns="5e3ee435-13e6-47c9-9e2e-dc17d6585919">
      <Terms xmlns="http://schemas.microsoft.com/office/infopath/2007/PartnerControls"/>
    </lcf76f155ced4ddcb4097134ff3c332f>
    <TaxCatchAll xmlns="66a168b1-b40b-4569-b9f9-7881a1a65bb2" xsi:nil="true"/>
    <NamederKrankenkasse xmlns="5e3ee435-13e6-47c9-9e2e-dc17d658591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96521C10B546944A842505C9528979D" ma:contentTypeVersion="13" ma:contentTypeDescription="Ein neues Dokument erstellen." ma:contentTypeScope="" ma:versionID="ed260d573fb12ab7e878956896c01974">
  <xsd:schema xmlns:xsd="http://www.w3.org/2001/XMLSchema" xmlns:xs="http://www.w3.org/2001/XMLSchema" xmlns:p="http://schemas.microsoft.com/office/2006/metadata/properties" xmlns:ns2="5e3ee435-13e6-47c9-9e2e-dc17d6585919" xmlns:ns3="66a168b1-b40b-4569-b9f9-7881a1a65bb2" targetNamespace="http://schemas.microsoft.com/office/2006/metadata/properties" ma:root="true" ma:fieldsID="3bb5e7e5394b4412f8c4a47d429aa43b" ns2:_="" ns3:_="">
    <xsd:import namespace="5e3ee435-13e6-47c9-9e2e-dc17d6585919"/>
    <xsd:import namespace="66a168b1-b40b-4569-b9f9-7881a1a65bb2"/>
    <xsd:element name="properties">
      <xsd:complexType>
        <xsd:sequence>
          <xsd:element name="documentManagement">
            <xsd:complexType>
              <xsd:all>
                <xsd:element ref="ns2:NamederKrankenkasse" minOccurs="0"/>
                <xsd:element ref="ns2:BEM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ee435-13e6-47c9-9e2e-dc17d6585919" elementFormDefault="qualified">
    <xsd:import namespace="http://schemas.microsoft.com/office/2006/documentManagement/types"/>
    <xsd:import namespace="http://schemas.microsoft.com/office/infopath/2007/PartnerControls"/>
    <xsd:element name="NamederKrankenkasse" ma:index="8" nillable="true" ma:displayName="Name der Krankenkasse" ma:format="Dropdown" ma:internalName="NamederKrankenkasse">
      <xsd:simpleType>
        <xsd:restriction base="dms:Text">
          <xsd:maxLength value="255"/>
        </xsd:restriction>
      </xsd:simpleType>
    </xsd:element>
    <xsd:element name="BEM" ma:index="9" nillable="true" ma:displayName="BEM" ma:format="Dropdown" ma:internalName="BEM">
      <xsd:simpleType>
        <xsd:restriction base="dms:Text">
          <xsd:maxLength value="255"/>
        </xsd:restriction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d8974728-19bb-4746-9f89-d7f5cbcdd2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7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a168b1-b40b-4569-b9f9-7881a1a65bb2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450528f-5265-495b-8fe3-b47b3305bcc2}" ma:internalName="TaxCatchAll" ma:showField="CatchAllData" ma:web="66a168b1-b40b-4569-b9f9-7881a1a65b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6129A5-B90C-4827-A24C-F27203240D2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B9508AB-6591-43CD-88BE-BDAE613FE9AD}"/>
</file>

<file path=customXml/itemProps3.xml><?xml version="1.0" encoding="utf-8"?>
<ds:datastoreItem xmlns:ds="http://schemas.openxmlformats.org/officeDocument/2006/customXml" ds:itemID="{363DBA42-1737-4F51-BEA4-C7A7EA4C825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2023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FES-VFV Falk, Margarethe</dc:creator>
  <cp:keywords/>
  <dc:description/>
  <cp:lastModifiedBy>FES-VFV Falk, Margarethe</cp:lastModifiedBy>
  <cp:revision/>
  <dcterms:created xsi:type="dcterms:W3CDTF">2023-02-14T11:49:54Z</dcterms:created>
  <dcterms:modified xsi:type="dcterms:W3CDTF">2024-10-09T12:09:05Z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0x010100496521C10B546944A842505C9528979D</vt:lpwstr>
  </property>
  <property fmtid="{D5CDD505-2E9C-101B-9397-08002B2CF9AE}" pid="3" name="MediaServiceImageTags">
    <vt:lpwstr/>
  </property>
</Properties>
</file>